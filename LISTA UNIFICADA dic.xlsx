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\Desktop\"/>
    </mc:Choice>
  </mc:AlternateContent>
  <xr:revisionPtr revIDLastSave="0" documentId="13_ncr:1_{BF48C520-F4B2-4501-A106-E154778A56CC}" xr6:coauthVersionLast="45" xr6:coauthVersionMax="45" xr10:uidLastSave="{00000000-0000-0000-0000-000000000000}"/>
  <bookViews>
    <workbookView xWindow="-120" yWindow="-120" windowWidth="24240" windowHeight="13140" tabRatio="860" xr2:uid="{00000000-000D-0000-FFFF-FFFF00000000}"/>
  </bookViews>
  <sheets>
    <sheet name="INICIO" sheetId="5" r:id="rId1"/>
    <sheet name="1" sheetId="1" r:id="rId2"/>
    <sheet name="2" sheetId="2" r:id="rId3"/>
    <sheet name="3" sheetId="3" r:id="rId4"/>
    <sheet name="4" sheetId="9" r:id="rId5"/>
    <sheet name="5" sheetId="10" r:id="rId6"/>
    <sheet name="6" sheetId="11" r:id="rId7"/>
    <sheet name="8" sheetId="13" r:id="rId8"/>
    <sheet name="7" sheetId="12" r:id="rId9"/>
    <sheet name="9" sheetId="14" r:id="rId10"/>
    <sheet name="10" sheetId="15" r:id="rId11"/>
    <sheet name="11" sheetId="16" r:id="rId12"/>
    <sheet name="12" sheetId="17" r:id="rId13"/>
    <sheet name="13" sheetId="18" r:id="rId14"/>
    <sheet name="14" sheetId="19" r:id="rId15"/>
    <sheet name="15" sheetId="20" r:id="rId16"/>
    <sheet name="16" sheetId="21" r:id="rId17"/>
    <sheet name="17" sheetId="22" r:id="rId18"/>
    <sheet name="18" sheetId="23" r:id="rId19"/>
    <sheet name="19" sheetId="24" r:id="rId20"/>
    <sheet name="20" sheetId="25" r:id="rId21"/>
    <sheet name="21" sheetId="26" r:id="rId22"/>
    <sheet name="22" sheetId="27" r:id="rId23"/>
    <sheet name="23" sheetId="28" r:id="rId24"/>
    <sheet name="24" sheetId="29" r:id="rId25"/>
    <sheet name="Hoja1" sheetId="104" r:id="rId26"/>
    <sheet name="25" sheetId="30" r:id="rId27"/>
    <sheet name="26" sheetId="31" r:id="rId28"/>
    <sheet name="27" sheetId="32" r:id="rId29"/>
    <sheet name="28" sheetId="33" r:id="rId30"/>
    <sheet name="29" sheetId="34" r:id="rId31"/>
    <sheet name="30" sheetId="35" r:id="rId32"/>
    <sheet name="31" sheetId="36" r:id="rId33"/>
    <sheet name="32" sheetId="37" r:id="rId34"/>
    <sheet name="33" sheetId="38" r:id="rId35"/>
    <sheet name="34" sheetId="39" r:id="rId36"/>
    <sheet name="35" sheetId="40" r:id="rId37"/>
    <sheet name="36" sheetId="41" r:id="rId38"/>
    <sheet name="37" sheetId="42" r:id="rId39"/>
    <sheet name="38" sheetId="43" r:id="rId40"/>
    <sheet name="39" sheetId="44" r:id="rId41"/>
    <sheet name="41" sheetId="46" r:id="rId42"/>
    <sheet name="40" sheetId="45" r:id="rId43"/>
    <sheet name="42" sheetId="47" r:id="rId44"/>
    <sheet name="43" sheetId="48" r:id="rId45"/>
    <sheet name="44" sheetId="49" r:id="rId46"/>
    <sheet name="45" sheetId="50" r:id="rId47"/>
    <sheet name="46" sheetId="51" r:id="rId48"/>
    <sheet name="47" sheetId="52" r:id="rId49"/>
    <sheet name="48" sheetId="53" r:id="rId50"/>
    <sheet name="49" sheetId="54" r:id="rId51"/>
    <sheet name="50" sheetId="55" r:id="rId52"/>
    <sheet name="51" sheetId="56" r:id="rId53"/>
    <sheet name="52" sheetId="57" r:id="rId54"/>
    <sheet name="53" sheetId="58" r:id="rId55"/>
    <sheet name="54" sheetId="59" r:id="rId56"/>
    <sheet name="55" sheetId="61" r:id="rId57"/>
    <sheet name="56" sheetId="62" r:id="rId58"/>
    <sheet name="57" sheetId="63" r:id="rId59"/>
    <sheet name="58" sheetId="64" r:id="rId60"/>
    <sheet name="59" sheetId="65" r:id="rId61"/>
    <sheet name="60" sheetId="66" r:id="rId62"/>
    <sheet name="61" sheetId="67" r:id="rId63"/>
    <sheet name="62" sheetId="68" r:id="rId64"/>
    <sheet name="63" sheetId="69" r:id="rId65"/>
    <sheet name="64" sheetId="70" r:id="rId66"/>
    <sheet name="65" sheetId="71" r:id="rId67"/>
    <sheet name="66" sheetId="72" r:id="rId68"/>
    <sheet name="67" sheetId="73" r:id="rId69"/>
    <sheet name="68" sheetId="74" r:id="rId70"/>
    <sheet name="69" sheetId="75" r:id="rId71"/>
    <sheet name="70" sheetId="76" r:id="rId72"/>
    <sheet name="71" sheetId="77" r:id="rId73"/>
    <sheet name="72" sheetId="78" r:id="rId74"/>
    <sheet name="73" sheetId="79" r:id="rId75"/>
    <sheet name="74" sheetId="80" r:id="rId76"/>
    <sheet name="75" sheetId="81" r:id="rId77"/>
    <sheet name="76" sheetId="82" r:id="rId78"/>
    <sheet name="77" sheetId="83" r:id="rId79"/>
    <sheet name="78" sheetId="84" r:id="rId80"/>
    <sheet name="79" sheetId="85" r:id="rId81"/>
    <sheet name="80" sheetId="86" r:id="rId82"/>
    <sheet name="81" sheetId="87" r:id="rId83"/>
    <sheet name="82" sheetId="88" r:id="rId84"/>
    <sheet name="83" sheetId="89" r:id="rId85"/>
    <sheet name="84" sheetId="90" r:id="rId86"/>
    <sheet name="85" sheetId="91" r:id="rId87"/>
    <sheet name="86" sheetId="92" r:id="rId88"/>
    <sheet name="87" sheetId="93" r:id="rId89"/>
    <sheet name="88" sheetId="94" r:id="rId90"/>
    <sheet name="89" sheetId="95" r:id="rId91"/>
    <sheet name="90" sheetId="96" r:id="rId92"/>
    <sheet name="91" sheetId="97" r:id="rId93"/>
    <sheet name="92" sheetId="98" r:id="rId94"/>
    <sheet name="93" sheetId="99" r:id="rId95"/>
    <sheet name="94" sheetId="100" r:id="rId96"/>
    <sheet name="95" sheetId="101" r:id="rId97"/>
    <sheet name="96" sheetId="102" r:id="rId98"/>
    <sheet name="97" sheetId="103" r:id="rId99"/>
    <sheet name="98" sheetId="8" r:id="rId100"/>
    <sheet name="99" sheetId="6" r:id="rId101"/>
    <sheet name="100" sheetId="7" r:id="rId102"/>
  </sheets>
  <definedNames>
    <definedName name="_xlnm._FilterDatabase" localSheetId="0" hidden="1">INICIO!$D$12:$Q$113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57" l="1"/>
  <c r="F164" i="5" l="1"/>
  <c r="K164" i="5" s="1"/>
  <c r="P164" i="5" s="1"/>
  <c r="R164" i="5" s="1"/>
  <c r="F163" i="5"/>
  <c r="J164" i="5" l="1"/>
  <c r="F195" i="5"/>
  <c r="F212" i="5" l="1"/>
  <c r="K212" i="5" s="1"/>
  <c r="P212" i="5" s="1"/>
  <c r="R212" i="5" s="1"/>
  <c r="J212" i="5" l="1"/>
  <c r="P124" i="5"/>
  <c r="P123" i="5"/>
  <c r="P122" i="5"/>
  <c r="P121" i="5"/>
  <c r="P120" i="5"/>
  <c r="P119" i="5"/>
  <c r="P118" i="5"/>
  <c r="P117" i="5"/>
  <c r="L124" i="5"/>
  <c r="L123" i="5"/>
  <c r="L122" i="5"/>
  <c r="L121" i="5"/>
  <c r="L117" i="5"/>
  <c r="L118" i="5"/>
  <c r="L119" i="5"/>
  <c r="L120" i="5"/>
  <c r="K231" i="5" l="1"/>
  <c r="F230" i="5"/>
  <c r="F229" i="5"/>
  <c r="K229" i="5" s="1"/>
  <c r="F231" i="5"/>
  <c r="K230" i="5"/>
  <c r="K228" i="5"/>
  <c r="K227" i="5"/>
  <c r="J227" i="5"/>
  <c r="J228" i="5"/>
  <c r="J229" i="5"/>
  <c r="J230" i="5"/>
  <c r="J231" i="5"/>
  <c r="F228" i="5"/>
  <c r="F227" i="5"/>
  <c r="F226" i="5"/>
  <c r="J226" i="5" s="1"/>
  <c r="F225" i="5"/>
  <c r="K225" i="5" s="1"/>
  <c r="F224" i="5"/>
  <c r="K224" i="5" s="1"/>
  <c r="F223" i="5"/>
  <c r="K223" i="5" s="1"/>
  <c r="F222" i="5"/>
  <c r="K222" i="5" s="1"/>
  <c r="F221" i="5"/>
  <c r="J221" i="5" s="1"/>
  <c r="K226" i="5" l="1"/>
  <c r="J222" i="5"/>
  <c r="K221" i="5"/>
  <c r="J224" i="5"/>
  <c r="J225" i="5"/>
  <c r="J223" i="5"/>
  <c r="F211" i="5" l="1"/>
  <c r="K211" i="5" s="1"/>
  <c r="P211" i="5" s="1"/>
  <c r="R211" i="5" s="1"/>
  <c r="F185" i="5"/>
  <c r="K185" i="5" s="1"/>
  <c r="P185" i="5" s="1"/>
  <c r="R185" i="5" s="1"/>
  <c r="J185" i="5" l="1"/>
  <c r="J211" i="5"/>
  <c r="F148" i="5"/>
  <c r="J148" i="5" s="1"/>
  <c r="K148" i="5" l="1"/>
  <c r="P148" i="5" s="1"/>
  <c r="R148" i="5" s="1"/>
  <c r="F145" i="5"/>
  <c r="J145" i="5" s="1"/>
  <c r="K145" i="5" l="1"/>
  <c r="P145" i="5" s="1"/>
  <c r="R145" i="5" s="1"/>
  <c r="F177" i="5"/>
  <c r="J177" i="5" s="1"/>
  <c r="K177" i="5" l="1"/>
  <c r="P177" i="5" s="1"/>
  <c r="R177" i="5" s="1"/>
  <c r="F203" i="5"/>
  <c r="K203" i="5" s="1"/>
  <c r="P203" i="5" s="1"/>
  <c r="R203" i="5" s="1"/>
  <c r="F178" i="5"/>
  <c r="J178" i="5" s="1"/>
  <c r="K178" i="5" l="1"/>
  <c r="P178" i="5" s="1"/>
  <c r="R178" i="5" s="1"/>
  <c r="J203" i="5"/>
  <c r="D2" i="18"/>
  <c r="K207" i="5" l="1"/>
  <c r="P207" i="5" s="1"/>
  <c r="R207" i="5" s="1"/>
  <c r="J207" i="5"/>
  <c r="K201" i="5" l="1"/>
  <c r="P201" i="5" s="1"/>
  <c r="R201" i="5" s="1"/>
  <c r="J201" i="5"/>
  <c r="F188" i="5" l="1"/>
  <c r="K188" i="5" s="1"/>
  <c r="P188" i="5" s="1"/>
  <c r="R188" i="5" s="1"/>
  <c r="J188" i="5" l="1"/>
  <c r="K189" i="5"/>
  <c r="P189" i="5" s="1"/>
  <c r="R189" i="5" s="1"/>
  <c r="J189" i="5"/>
  <c r="F184" i="5" l="1"/>
  <c r="K184" i="5" s="1"/>
  <c r="P184" i="5" s="1"/>
  <c r="R184" i="5" s="1"/>
  <c r="J184" i="5" l="1"/>
  <c r="F149" i="5" l="1"/>
  <c r="J149" i="5" s="1"/>
  <c r="F143" i="5"/>
  <c r="K143" i="5" s="1"/>
  <c r="P143" i="5" s="1"/>
  <c r="R143" i="5" s="1"/>
  <c r="J143" i="5" l="1"/>
  <c r="K149" i="5"/>
  <c r="P149" i="5" s="1"/>
  <c r="R149" i="5" s="1"/>
  <c r="K195" i="5"/>
  <c r="P195" i="5" s="1"/>
  <c r="R195" i="5" s="1"/>
  <c r="J195" i="5"/>
  <c r="K163" i="5"/>
  <c r="P163" i="5" s="1"/>
  <c r="R163" i="5" s="1"/>
  <c r="J163" i="5"/>
  <c r="F179" i="5" l="1"/>
  <c r="K179" i="5" s="1"/>
  <c r="P179" i="5" s="1"/>
  <c r="R179" i="5" s="1"/>
  <c r="J179" i="5" l="1"/>
  <c r="F199" i="5" l="1"/>
  <c r="K199" i="5" s="1"/>
  <c r="P199" i="5" s="1"/>
  <c r="R199" i="5" s="1"/>
  <c r="J199" i="5" l="1"/>
  <c r="F147" i="5"/>
  <c r="K147" i="5" l="1"/>
  <c r="P147" i="5" s="1"/>
  <c r="R147" i="5" s="1"/>
  <c r="J147" i="5"/>
  <c r="F158" i="5" l="1"/>
  <c r="F206" i="5" l="1"/>
  <c r="K206" i="5" s="1"/>
  <c r="P206" i="5" s="1"/>
  <c r="R206" i="5" s="1"/>
  <c r="F204" i="5"/>
  <c r="K204" i="5" s="1"/>
  <c r="P204" i="5" s="1"/>
  <c r="R204" i="5" s="1"/>
  <c r="J204" i="5" l="1"/>
  <c r="J206" i="5"/>
  <c r="F139" i="5"/>
  <c r="K139" i="5" s="1"/>
  <c r="J139" i="5" l="1"/>
  <c r="K158" i="5"/>
  <c r="P158" i="5" s="1"/>
  <c r="R158" i="5" s="1"/>
  <c r="J158" i="5"/>
  <c r="L114" i="5" l="1"/>
  <c r="F114" i="5"/>
  <c r="F162" i="5" l="1"/>
  <c r="F160" i="5"/>
  <c r="F210" i="5"/>
  <c r="F154" i="5"/>
  <c r="F171" i="5"/>
  <c r="F193" i="5"/>
  <c r="F197" i="5"/>
  <c r="F170" i="5"/>
  <c r="F172" i="5"/>
  <c r="F186" i="5"/>
  <c r="F180" i="5"/>
  <c r="F200" i="5"/>
  <c r="F194" i="5"/>
  <c r="F191" i="5"/>
  <c r="F192" i="5"/>
  <c r="F205" i="5"/>
  <c r="F150" i="5"/>
  <c r="F166" i="5"/>
  <c r="F159" i="5"/>
  <c r="F138" i="5"/>
  <c r="F209" i="5"/>
  <c r="F208" i="5"/>
  <c r="F202" i="5"/>
  <c r="K202" i="5" s="1"/>
  <c r="P202" i="5" s="1"/>
  <c r="R202" i="5" s="1"/>
  <c r="F137" i="5"/>
  <c r="K137" i="5" s="1"/>
  <c r="F181" i="5"/>
  <c r="F146" i="5"/>
  <c r="F144" i="5"/>
  <c r="F175" i="5"/>
  <c r="F155" i="5"/>
  <c r="F156" i="5"/>
  <c r="K156" i="5" s="1"/>
  <c r="P156" i="5" s="1"/>
  <c r="R156" i="5" s="1"/>
  <c r="F176" i="5"/>
  <c r="F153" i="5"/>
  <c r="F157" i="5"/>
  <c r="F165" i="5"/>
  <c r="K165" i="5" s="1"/>
  <c r="P165" i="5" s="1"/>
  <c r="R165" i="5" s="1"/>
  <c r="F187" i="5"/>
  <c r="J187" i="5" s="1"/>
  <c r="F174" i="5"/>
  <c r="F182" i="5"/>
  <c r="K182" i="5" s="1"/>
  <c r="P182" i="5" s="1"/>
  <c r="R182" i="5" s="1"/>
  <c r="F183" i="5"/>
  <c r="F151" i="5"/>
  <c r="K151" i="5" s="1"/>
  <c r="P151" i="5" s="1"/>
  <c r="R151" i="5" s="1"/>
  <c r="F190" i="5"/>
  <c r="K190" i="5" s="1"/>
  <c r="P190" i="5" s="1"/>
  <c r="R190" i="5" s="1"/>
  <c r="F161" i="5"/>
  <c r="F152" i="5"/>
  <c r="K152" i="5" s="1"/>
  <c r="P152" i="5" s="1"/>
  <c r="R152" i="5" s="1"/>
  <c r="F173" i="5"/>
  <c r="J173" i="5" s="1"/>
  <c r="F198" i="5"/>
  <c r="K160" i="5" l="1"/>
  <c r="P160" i="5" s="1"/>
  <c r="R160" i="5" s="1"/>
  <c r="J160" i="5"/>
  <c r="K162" i="5"/>
  <c r="P162" i="5" s="1"/>
  <c r="R162" i="5" s="1"/>
  <c r="J162" i="5"/>
  <c r="J157" i="5"/>
  <c r="K157" i="5"/>
  <c r="P157" i="5" s="1"/>
  <c r="R157" i="5" s="1"/>
  <c r="J170" i="5"/>
  <c r="K170" i="5"/>
  <c r="P170" i="5" s="1"/>
  <c r="R170" i="5" s="1"/>
  <c r="K193" i="5"/>
  <c r="P193" i="5" s="1"/>
  <c r="R193" i="5" s="1"/>
  <c r="J193" i="5"/>
  <c r="K154" i="5"/>
  <c r="P154" i="5" s="1"/>
  <c r="R154" i="5" s="1"/>
  <c r="J154" i="5"/>
  <c r="K172" i="5"/>
  <c r="P172" i="5" s="1"/>
  <c r="R172" i="5" s="1"/>
  <c r="J172" i="5"/>
  <c r="K197" i="5"/>
  <c r="P197" i="5" s="1"/>
  <c r="R197" i="5" s="1"/>
  <c r="J197" i="5"/>
  <c r="J171" i="5"/>
  <c r="K171" i="5"/>
  <c r="P171" i="5" s="1"/>
  <c r="R171" i="5" s="1"/>
  <c r="J210" i="5"/>
  <c r="K210" i="5"/>
  <c r="P210" i="5" s="1"/>
  <c r="R210" i="5" s="1"/>
  <c r="K200" i="5"/>
  <c r="P200" i="5" s="1"/>
  <c r="R200" i="5" s="1"/>
  <c r="J200" i="5"/>
  <c r="J186" i="5"/>
  <c r="K186" i="5"/>
  <c r="P186" i="5" s="1"/>
  <c r="R186" i="5" s="1"/>
  <c r="K180" i="5"/>
  <c r="P180" i="5" s="1"/>
  <c r="R180" i="5" s="1"/>
  <c r="J180" i="5"/>
  <c r="K192" i="5"/>
  <c r="P192" i="5" s="1"/>
  <c r="R192" i="5" s="1"/>
  <c r="J192" i="5"/>
  <c r="K194" i="5"/>
  <c r="P194" i="5" s="1"/>
  <c r="R194" i="5" s="1"/>
  <c r="J194" i="5"/>
  <c r="K191" i="5"/>
  <c r="P191" i="5" s="1"/>
  <c r="R191" i="5" s="1"/>
  <c r="J191" i="5"/>
  <c r="K209" i="5"/>
  <c r="P209" i="5" s="1"/>
  <c r="R209" i="5" s="1"/>
  <c r="J209" i="5"/>
  <c r="J159" i="5"/>
  <c r="K159" i="5"/>
  <c r="P159" i="5" s="1"/>
  <c r="R159" i="5" s="1"/>
  <c r="J150" i="5"/>
  <c r="K150" i="5"/>
  <c r="P150" i="5" s="1"/>
  <c r="R150" i="5" s="1"/>
  <c r="J208" i="5"/>
  <c r="K208" i="5"/>
  <c r="P208" i="5" s="1"/>
  <c r="R208" i="5" s="1"/>
  <c r="K138" i="5"/>
  <c r="J138" i="5"/>
  <c r="J166" i="5"/>
  <c r="K166" i="5"/>
  <c r="P166" i="5" s="1"/>
  <c r="R166" i="5" s="1"/>
  <c r="K205" i="5"/>
  <c r="P205" i="5" s="1"/>
  <c r="R205" i="5" s="1"/>
  <c r="J205" i="5"/>
  <c r="J156" i="5"/>
  <c r="J152" i="5"/>
  <c r="J190" i="5"/>
  <c r="K187" i="5"/>
  <c r="P187" i="5" s="1"/>
  <c r="R187" i="5" s="1"/>
  <c r="J165" i="5"/>
  <c r="J151" i="5"/>
  <c r="J137" i="5"/>
  <c r="J202" i="5"/>
  <c r="K198" i="5"/>
  <c r="P198" i="5" s="1"/>
  <c r="R198" i="5" s="1"/>
  <c r="J198" i="5"/>
  <c r="K183" i="5"/>
  <c r="P183" i="5" s="1"/>
  <c r="R183" i="5" s="1"/>
  <c r="J174" i="5" l="1"/>
  <c r="J175" i="5"/>
  <c r="J176" i="5"/>
  <c r="J181" i="5"/>
  <c r="J182" i="5"/>
  <c r="J183" i="5"/>
  <c r="J146" i="5"/>
  <c r="J153" i="5"/>
  <c r="J155" i="5"/>
  <c r="J161" i="5"/>
  <c r="J144" i="5"/>
  <c r="K181" i="5" l="1"/>
  <c r="P181" i="5" s="1"/>
  <c r="R181" i="5" s="1"/>
  <c r="K176" i="5"/>
  <c r="P176" i="5" s="1"/>
  <c r="R176" i="5" s="1"/>
  <c r="K175" i="5"/>
  <c r="P175" i="5" s="1"/>
  <c r="R175" i="5" s="1"/>
  <c r="K174" i="5"/>
  <c r="P174" i="5" s="1"/>
  <c r="R174" i="5" s="1"/>
  <c r="K173" i="5"/>
  <c r="P173" i="5" s="1"/>
  <c r="R173" i="5" s="1"/>
  <c r="K161" i="5"/>
  <c r="P161" i="5" s="1"/>
  <c r="R161" i="5" s="1"/>
  <c r="K155" i="5"/>
  <c r="P155" i="5" s="1"/>
  <c r="R155" i="5" s="1"/>
  <c r="K153" i="5"/>
  <c r="P153" i="5" s="1"/>
  <c r="R153" i="5" s="1"/>
  <c r="K146" i="5"/>
  <c r="P146" i="5" s="1"/>
  <c r="R146" i="5" s="1"/>
  <c r="K144" i="5"/>
  <c r="P144" i="5" s="1"/>
  <c r="R144" i="5" s="1"/>
  <c r="K132" i="5" l="1"/>
  <c r="K129" i="5"/>
  <c r="G134" i="5"/>
  <c r="G133" i="5"/>
  <c r="G132" i="5"/>
  <c r="G131" i="5"/>
  <c r="G130" i="5"/>
  <c r="G129" i="5"/>
  <c r="G128" i="5"/>
  <c r="G127" i="5"/>
  <c r="K128" i="5"/>
  <c r="K130" i="5"/>
  <c r="K131" i="5"/>
  <c r="K133" i="5"/>
  <c r="K134" i="5"/>
  <c r="K127" i="5"/>
  <c r="J128" i="5"/>
  <c r="J129" i="5"/>
  <c r="J130" i="5"/>
  <c r="J131" i="5"/>
  <c r="J132" i="5"/>
  <c r="J133" i="5"/>
  <c r="J134" i="5"/>
  <c r="J127" i="5"/>
  <c r="C45" i="36" l="1"/>
  <c r="C44" i="36"/>
  <c r="C43" i="36"/>
  <c r="C41" i="36"/>
  <c r="C49" i="9" l="1"/>
  <c r="C48" i="9"/>
  <c r="C47" i="9"/>
  <c r="C45" i="9"/>
  <c r="C45" i="2" l="1"/>
  <c r="D2" i="91" l="1"/>
  <c r="D2" i="7" l="1"/>
  <c r="D2" i="6"/>
  <c r="D2" i="8"/>
  <c r="D2" i="103"/>
  <c r="D2" i="102"/>
  <c r="D2" i="101"/>
  <c r="D2" i="100"/>
  <c r="D2" i="99"/>
  <c r="D2" i="98"/>
  <c r="D2" i="97"/>
  <c r="D2" i="96"/>
  <c r="D2" i="95"/>
  <c r="D2" i="94"/>
  <c r="D2" i="93"/>
  <c r="D2" i="92"/>
  <c r="D2" i="90"/>
  <c r="D2" i="89"/>
  <c r="D2" i="88"/>
  <c r="D2" i="87"/>
  <c r="D2" i="86"/>
  <c r="D2" i="85"/>
  <c r="D2" i="84"/>
  <c r="D2" i="83"/>
  <c r="D2" i="82"/>
  <c r="D2" i="81"/>
  <c r="D2" i="80"/>
  <c r="D2" i="79"/>
  <c r="D2" i="78"/>
  <c r="D2" i="77"/>
  <c r="D2" i="76"/>
  <c r="D2" i="75"/>
  <c r="D2" i="74"/>
  <c r="D2" i="73"/>
  <c r="D2" i="72"/>
  <c r="D2" i="71"/>
  <c r="D2" i="70"/>
  <c r="D2" i="69"/>
  <c r="D2" i="68"/>
  <c r="D2" i="67"/>
  <c r="D2" i="66"/>
  <c r="D2" i="65"/>
  <c r="D2" i="64"/>
  <c r="D2" i="63"/>
  <c r="D2" i="62"/>
  <c r="D2" i="61"/>
  <c r="D2" i="59"/>
  <c r="D2" i="58"/>
  <c r="D2" i="56"/>
  <c r="D2" i="55"/>
  <c r="D2" i="54"/>
  <c r="D2" i="53"/>
  <c r="D2" i="52"/>
  <c r="D2" i="51"/>
  <c r="D2" i="50"/>
  <c r="D2" i="49"/>
  <c r="D2" i="48"/>
  <c r="D2" i="47"/>
  <c r="D2" i="46"/>
  <c r="D2" i="45"/>
  <c r="D2" i="44"/>
  <c r="D2" i="43"/>
  <c r="D2" i="42"/>
  <c r="D2" i="41"/>
  <c r="D2" i="40"/>
  <c r="D2" i="39"/>
  <c r="D2" i="38"/>
  <c r="D2" i="37"/>
  <c r="D2" i="36"/>
  <c r="D2" i="35"/>
  <c r="D2" i="34"/>
  <c r="D2" i="33"/>
  <c r="D2" i="32"/>
  <c r="D2" i="31"/>
  <c r="D2" i="30"/>
  <c r="D2" i="29"/>
  <c r="D2" i="28"/>
  <c r="D2" i="27"/>
  <c r="D2" i="26"/>
  <c r="D2" i="25"/>
  <c r="D2" i="24"/>
  <c r="D2" i="23"/>
  <c r="D2" i="22"/>
  <c r="D2" i="21"/>
  <c r="D2" i="20"/>
  <c r="D2" i="19"/>
  <c r="D2" i="17"/>
  <c r="D2" i="16"/>
  <c r="D2" i="15"/>
  <c r="D2" i="14"/>
  <c r="D2" i="13"/>
  <c r="D2" i="12"/>
  <c r="D2" i="11"/>
  <c r="D2" i="10"/>
  <c r="D2" i="9"/>
  <c r="D2" i="3"/>
  <c r="D2" i="2"/>
  <c r="D2" i="1"/>
  <c r="N113" i="5" l="1"/>
  <c r="O113" i="5" s="1"/>
  <c r="P113" i="5" s="1"/>
  <c r="N112" i="5"/>
  <c r="O112" i="5" s="1"/>
  <c r="P112" i="5" s="1"/>
  <c r="N111" i="5"/>
  <c r="O111" i="5" s="1"/>
  <c r="P111" i="5" s="1"/>
  <c r="N110" i="5"/>
  <c r="O110" i="5" s="1"/>
  <c r="P110" i="5" s="1"/>
  <c r="N109" i="5"/>
  <c r="O109" i="5" s="1"/>
  <c r="P109" i="5" s="1"/>
  <c r="N108" i="5"/>
  <c r="O108" i="5" s="1"/>
  <c r="P108" i="5" s="1"/>
  <c r="N107" i="5"/>
  <c r="O107" i="5" s="1"/>
  <c r="P107" i="5" s="1"/>
  <c r="N106" i="5"/>
  <c r="O106" i="5" s="1"/>
  <c r="P106" i="5" s="1"/>
  <c r="N105" i="5"/>
  <c r="O105" i="5" s="1"/>
  <c r="P105" i="5" s="1"/>
  <c r="N104" i="5"/>
  <c r="O104" i="5" s="1"/>
  <c r="P104" i="5" s="1"/>
  <c r="N103" i="5"/>
  <c r="O103" i="5" s="1"/>
  <c r="P103" i="5" s="1"/>
  <c r="N102" i="5"/>
  <c r="O102" i="5" s="1"/>
  <c r="P102" i="5" s="1"/>
  <c r="N101" i="5"/>
  <c r="O101" i="5" s="1"/>
  <c r="P101" i="5" s="1"/>
  <c r="N100" i="5"/>
  <c r="O100" i="5" s="1"/>
  <c r="P100" i="5" s="1"/>
  <c r="N99" i="5"/>
  <c r="O99" i="5" s="1"/>
  <c r="P99" i="5" s="1"/>
  <c r="N98" i="5"/>
  <c r="O98" i="5" s="1"/>
  <c r="P98" i="5" s="1"/>
  <c r="N97" i="5"/>
  <c r="O97" i="5" s="1"/>
  <c r="P97" i="5" s="1"/>
  <c r="N96" i="5"/>
  <c r="O96" i="5" s="1"/>
  <c r="P96" i="5" s="1"/>
  <c r="N95" i="5"/>
  <c r="O95" i="5" s="1"/>
  <c r="P95" i="5" s="1"/>
  <c r="N94" i="5"/>
  <c r="O94" i="5" s="1"/>
  <c r="P94" i="5" s="1"/>
  <c r="N93" i="5"/>
  <c r="O93" i="5" s="1"/>
  <c r="P93" i="5" s="1"/>
  <c r="N92" i="5"/>
  <c r="O92" i="5" s="1"/>
  <c r="P92" i="5" s="1"/>
  <c r="N91" i="5"/>
  <c r="O91" i="5" s="1"/>
  <c r="P91" i="5" s="1"/>
  <c r="N90" i="5"/>
  <c r="O90" i="5" s="1"/>
  <c r="P90" i="5" s="1"/>
  <c r="N89" i="5"/>
  <c r="O89" i="5" s="1"/>
  <c r="P89" i="5" s="1"/>
  <c r="N88" i="5"/>
  <c r="O88" i="5" s="1"/>
  <c r="P88" i="5" s="1"/>
  <c r="N87" i="5"/>
  <c r="O87" i="5" s="1"/>
  <c r="P87" i="5" s="1"/>
  <c r="N86" i="5"/>
  <c r="O86" i="5" s="1"/>
  <c r="P86" i="5" s="1"/>
  <c r="N85" i="5"/>
  <c r="O85" i="5" s="1"/>
  <c r="P85" i="5" s="1"/>
  <c r="N84" i="5"/>
  <c r="O84" i="5" s="1"/>
  <c r="P84" i="5" s="1"/>
  <c r="N83" i="5"/>
  <c r="O83" i="5" s="1"/>
  <c r="P83" i="5" s="1"/>
  <c r="N82" i="5"/>
  <c r="O82" i="5" s="1"/>
  <c r="P82" i="5" s="1"/>
  <c r="N81" i="5"/>
  <c r="O81" i="5" s="1"/>
  <c r="P81" i="5" s="1"/>
  <c r="N80" i="5"/>
  <c r="O80" i="5" s="1"/>
  <c r="P80" i="5" s="1"/>
  <c r="N79" i="5"/>
  <c r="O79" i="5" s="1"/>
  <c r="P79" i="5" s="1"/>
  <c r="N78" i="5"/>
  <c r="O78" i="5" s="1"/>
  <c r="P78" i="5" s="1"/>
  <c r="N77" i="5"/>
  <c r="O77" i="5" s="1"/>
  <c r="P77" i="5" s="1"/>
  <c r="N76" i="5"/>
  <c r="O76" i="5" s="1"/>
  <c r="P76" i="5" s="1"/>
  <c r="N75" i="5"/>
  <c r="O75" i="5" s="1"/>
  <c r="P75" i="5" s="1"/>
  <c r="N74" i="5"/>
  <c r="O74" i="5" s="1"/>
  <c r="P74" i="5" s="1"/>
  <c r="N73" i="5"/>
  <c r="O73" i="5" s="1"/>
  <c r="P73" i="5" s="1"/>
  <c r="N72" i="5"/>
  <c r="O72" i="5" s="1"/>
  <c r="P72" i="5" s="1"/>
  <c r="N71" i="5"/>
  <c r="O71" i="5" s="1"/>
  <c r="P71" i="5" s="1"/>
  <c r="N70" i="5"/>
  <c r="O70" i="5" s="1"/>
  <c r="P70" i="5" s="1"/>
  <c r="N69" i="5"/>
  <c r="O69" i="5" s="1"/>
  <c r="P69" i="5" s="1"/>
  <c r="N68" i="5"/>
  <c r="O68" i="5" s="1"/>
  <c r="P68" i="5" s="1"/>
  <c r="N67" i="5"/>
  <c r="O67" i="5" s="1"/>
  <c r="P67" i="5" s="1"/>
  <c r="N66" i="5"/>
  <c r="O66" i="5" s="1"/>
  <c r="P66" i="5" s="1"/>
  <c r="N65" i="5"/>
  <c r="O65" i="5" s="1"/>
  <c r="P65" i="5" s="1"/>
  <c r="N64" i="5"/>
  <c r="O64" i="5" s="1"/>
  <c r="P64" i="5" s="1"/>
  <c r="N63" i="5"/>
  <c r="O63" i="5" s="1"/>
  <c r="P63" i="5" s="1"/>
  <c r="N62" i="5"/>
  <c r="O62" i="5" s="1"/>
  <c r="P62" i="5" s="1"/>
  <c r="N61" i="5"/>
  <c r="O61" i="5" s="1"/>
  <c r="P61" i="5" s="1"/>
  <c r="N60" i="5"/>
  <c r="O60" i="5" s="1"/>
  <c r="P60" i="5" s="1"/>
  <c r="N59" i="5"/>
  <c r="O59" i="5" s="1"/>
  <c r="P59" i="5" s="1"/>
  <c r="N58" i="5"/>
  <c r="O58" i="5" s="1"/>
  <c r="P58" i="5" s="1"/>
  <c r="N57" i="5"/>
  <c r="O57" i="5" s="1"/>
  <c r="P57" i="5" s="1"/>
  <c r="N56" i="5"/>
  <c r="O56" i="5" s="1"/>
  <c r="P56" i="5" s="1"/>
  <c r="N55" i="5"/>
  <c r="O55" i="5" s="1"/>
  <c r="P55" i="5" s="1"/>
  <c r="N54" i="5"/>
  <c r="O54" i="5" s="1"/>
  <c r="P54" i="5" s="1"/>
  <c r="N53" i="5"/>
  <c r="O53" i="5" s="1"/>
  <c r="P53" i="5" s="1"/>
  <c r="N52" i="5"/>
  <c r="O52" i="5" s="1"/>
  <c r="P52" i="5" s="1"/>
  <c r="N51" i="5"/>
  <c r="O51" i="5" s="1"/>
  <c r="P51" i="5" s="1"/>
  <c r="N50" i="5"/>
  <c r="O50" i="5" s="1"/>
  <c r="P50" i="5" s="1"/>
  <c r="N49" i="5"/>
  <c r="O49" i="5" s="1"/>
  <c r="P49" i="5" s="1"/>
  <c r="N48" i="5"/>
  <c r="O48" i="5" s="1"/>
  <c r="P48" i="5" s="1"/>
  <c r="N47" i="5"/>
  <c r="O47" i="5" s="1"/>
  <c r="P47" i="5" s="1"/>
  <c r="N46" i="5"/>
  <c r="O46" i="5" s="1"/>
  <c r="P46" i="5" s="1"/>
  <c r="N45" i="5"/>
  <c r="O45" i="5" s="1"/>
  <c r="P45" i="5" s="1"/>
  <c r="N44" i="5"/>
  <c r="O44" i="5" s="1"/>
  <c r="P44" i="5" s="1"/>
  <c r="N43" i="5"/>
  <c r="O43" i="5" s="1"/>
  <c r="P43" i="5" s="1"/>
  <c r="N42" i="5"/>
  <c r="O42" i="5" s="1"/>
  <c r="P42" i="5" s="1"/>
  <c r="N41" i="5"/>
  <c r="O41" i="5" s="1"/>
  <c r="P41" i="5" s="1"/>
  <c r="N40" i="5"/>
  <c r="O40" i="5" s="1"/>
  <c r="P40" i="5" s="1"/>
  <c r="N39" i="5"/>
  <c r="O39" i="5" s="1"/>
  <c r="P39" i="5" s="1"/>
  <c r="N38" i="5"/>
  <c r="O38" i="5" s="1"/>
  <c r="P38" i="5" s="1"/>
  <c r="N37" i="5"/>
  <c r="O37" i="5" s="1"/>
  <c r="P37" i="5" s="1"/>
  <c r="N36" i="5"/>
  <c r="O36" i="5" s="1"/>
  <c r="P36" i="5" s="1"/>
  <c r="N35" i="5"/>
  <c r="O35" i="5" s="1"/>
  <c r="P35" i="5" s="1"/>
  <c r="N34" i="5"/>
  <c r="O34" i="5" s="1"/>
  <c r="P34" i="5" s="1"/>
  <c r="N33" i="5"/>
  <c r="O33" i="5" s="1"/>
  <c r="P33" i="5" s="1"/>
  <c r="N32" i="5"/>
  <c r="O32" i="5" s="1"/>
  <c r="P32" i="5" s="1"/>
  <c r="N31" i="5"/>
  <c r="O31" i="5" s="1"/>
  <c r="P31" i="5" s="1"/>
  <c r="N30" i="5"/>
  <c r="O30" i="5" s="1"/>
  <c r="P30" i="5" s="1"/>
  <c r="N29" i="5"/>
  <c r="O29" i="5" s="1"/>
  <c r="P29" i="5" s="1"/>
  <c r="N28" i="5"/>
  <c r="O28" i="5" s="1"/>
  <c r="P28" i="5" s="1"/>
  <c r="N27" i="5"/>
  <c r="O27" i="5" s="1"/>
  <c r="P27" i="5" s="1"/>
  <c r="N26" i="5"/>
  <c r="O26" i="5" s="1"/>
  <c r="P26" i="5" s="1"/>
  <c r="N25" i="5"/>
  <c r="O25" i="5" s="1"/>
  <c r="P25" i="5" s="1"/>
  <c r="N24" i="5"/>
  <c r="O24" i="5" s="1"/>
  <c r="P24" i="5" s="1"/>
  <c r="N23" i="5"/>
  <c r="O23" i="5" s="1"/>
  <c r="P23" i="5" s="1"/>
  <c r="N22" i="5"/>
  <c r="O22" i="5" s="1"/>
  <c r="P22" i="5" s="1"/>
  <c r="N21" i="5"/>
  <c r="O21" i="5" s="1"/>
  <c r="P21" i="5" s="1"/>
  <c r="N20" i="5"/>
  <c r="O20" i="5" s="1"/>
  <c r="P20" i="5" s="1"/>
  <c r="N19" i="5"/>
  <c r="O19" i="5" s="1"/>
  <c r="P19" i="5" s="1"/>
  <c r="N18" i="5"/>
  <c r="O18" i="5" s="1"/>
  <c r="P18" i="5" s="1"/>
  <c r="N17" i="5"/>
  <c r="O17" i="5" s="1"/>
  <c r="P17" i="5" s="1"/>
  <c r="N16" i="5"/>
  <c r="O16" i="5" s="1"/>
  <c r="P16" i="5" s="1"/>
  <c r="N15" i="5"/>
  <c r="O15" i="5" s="1"/>
  <c r="P15" i="5" s="1"/>
  <c r="N14" i="5"/>
  <c r="O14" i="5" s="1"/>
  <c r="P14" i="5" s="1"/>
  <c r="H15" i="5"/>
  <c r="I15" i="5" s="1"/>
  <c r="J15" i="5" s="1"/>
  <c r="H16" i="5"/>
  <c r="I16" i="5" s="1"/>
  <c r="J16" i="5" s="1"/>
  <c r="H17" i="5"/>
  <c r="I17" i="5" s="1"/>
  <c r="J17" i="5" s="1"/>
  <c r="H18" i="5"/>
  <c r="I18" i="5" s="1"/>
  <c r="J18" i="5" s="1"/>
  <c r="H19" i="5"/>
  <c r="I19" i="5" s="1"/>
  <c r="J19" i="5" s="1"/>
  <c r="H20" i="5"/>
  <c r="I20" i="5" s="1"/>
  <c r="J20" i="5" s="1"/>
  <c r="H21" i="5"/>
  <c r="I21" i="5" s="1"/>
  <c r="J21" i="5" s="1"/>
  <c r="H22" i="5"/>
  <c r="I22" i="5" s="1"/>
  <c r="J22" i="5" s="1"/>
  <c r="H23" i="5"/>
  <c r="I23" i="5" s="1"/>
  <c r="J23" i="5" s="1"/>
  <c r="H24" i="5"/>
  <c r="I24" i="5" s="1"/>
  <c r="J24" i="5" s="1"/>
  <c r="H25" i="5"/>
  <c r="I25" i="5" s="1"/>
  <c r="J25" i="5" s="1"/>
  <c r="H26" i="5"/>
  <c r="I26" i="5" s="1"/>
  <c r="H27" i="5"/>
  <c r="I27" i="5" s="1"/>
  <c r="J27" i="5" s="1"/>
  <c r="H28" i="5"/>
  <c r="I28" i="5" s="1"/>
  <c r="J28" i="5" s="1"/>
  <c r="H29" i="5"/>
  <c r="I29" i="5" s="1"/>
  <c r="J29" i="5" s="1"/>
  <c r="H30" i="5"/>
  <c r="I30" i="5" s="1"/>
  <c r="J30" i="5" s="1"/>
  <c r="H31" i="5"/>
  <c r="I31" i="5" s="1"/>
  <c r="J31" i="5" s="1"/>
  <c r="H32" i="5"/>
  <c r="I32" i="5" s="1"/>
  <c r="J32" i="5" s="1"/>
  <c r="H33" i="5"/>
  <c r="I33" i="5" s="1"/>
  <c r="J33" i="5" s="1"/>
  <c r="H34" i="5"/>
  <c r="I34" i="5" s="1"/>
  <c r="J34" i="5" s="1"/>
  <c r="H35" i="5"/>
  <c r="I35" i="5" s="1"/>
  <c r="J35" i="5" s="1"/>
  <c r="H36" i="5"/>
  <c r="I36" i="5" s="1"/>
  <c r="J36" i="5" s="1"/>
  <c r="H37" i="5"/>
  <c r="I37" i="5" s="1"/>
  <c r="J37" i="5" s="1"/>
  <c r="H38" i="5"/>
  <c r="I38" i="5" s="1"/>
  <c r="J38" i="5" s="1"/>
  <c r="H39" i="5"/>
  <c r="I39" i="5" s="1"/>
  <c r="J39" i="5" s="1"/>
  <c r="H40" i="5"/>
  <c r="I40" i="5" s="1"/>
  <c r="J40" i="5" s="1"/>
  <c r="H41" i="5"/>
  <c r="I41" i="5" s="1"/>
  <c r="J41" i="5" s="1"/>
  <c r="H42" i="5"/>
  <c r="I42" i="5" s="1"/>
  <c r="J42" i="5" s="1"/>
  <c r="H43" i="5"/>
  <c r="I43" i="5" s="1"/>
  <c r="J43" i="5" s="1"/>
  <c r="H44" i="5"/>
  <c r="I44" i="5" s="1"/>
  <c r="J44" i="5" s="1"/>
  <c r="H45" i="5"/>
  <c r="I45" i="5" s="1"/>
  <c r="J45" i="5" s="1"/>
  <c r="H46" i="5"/>
  <c r="I46" i="5" s="1"/>
  <c r="J46" i="5" s="1"/>
  <c r="H47" i="5"/>
  <c r="I47" i="5" s="1"/>
  <c r="J47" i="5" s="1"/>
  <c r="H48" i="5"/>
  <c r="I48" i="5" s="1"/>
  <c r="J48" i="5" s="1"/>
  <c r="H49" i="5"/>
  <c r="I49" i="5" s="1"/>
  <c r="J49" i="5" s="1"/>
  <c r="H50" i="5"/>
  <c r="I50" i="5" s="1"/>
  <c r="J50" i="5" s="1"/>
  <c r="H51" i="5"/>
  <c r="I51" i="5" s="1"/>
  <c r="J51" i="5" s="1"/>
  <c r="H52" i="5"/>
  <c r="I52" i="5" s="1"/>
  <c r="J52" i="5" s="1"/>
  <c r="H53" i="5"/>
  <c r="I53" i="5" s="1"/>
  <c r="J53" i="5" s="1"/>
  <c r="H54" i="5"/>
  <c r="I54" i="5" s="1"/>
  <c r="J54" i="5" s="1"/>
  <c r="H55" i="5"/>
  <c r="I55" i="5" s="1"/>
  <c r="J55" i="5" s="1"/>
  <c r="H56" i="5"/>
  <c r="I56" i="5" s="1"/>
  <c r="J56" i="5" s="1"/>
  <c r="H57" i="5"/>
  <c r="I57" i="5" s="1"/>
  <c r="J57" i="5" s="1"/>
  <c r="H58" i="5"/>
  <c r="I58" i="5" s="1"/>
  <c r="J58" i="5" s="1"/>
  <c r="H59" i="5"/>
  <c r="I59" i="5" s="1"/>
  <c r="J59" i="5" s="1"/>
  <c r="H60" i="5"/>
  <c r="I60" i="5" s="1"/>
  <c r="J60" i="5" s="1"/>
  <c r="H61" i="5"/>
  <c r="I61" i="5" s="1"/>
  <c r="J61" i="5" s="1"/>
  <c r="H62" i="5"/>
  <c r="I62" i="5" s="1"/>
  <c r="J62" i="5" s="1"/>
  <c r="H63" i="5"/>
  <c r="I63" i="5" s="1"/>
  <c r="J63" i="5" s="1"/>
  <c r="H64" i="5"/>
  <c r="I64" i="5" s="1"/>
  <c r="J64" i="5" s="1"/>
  <c r="H65" i="5"/>
  <c r="I65" i="5" s="1"/>
  <c r="J65" i="5" s="1"/>
  <c r="H66" i="5"/>
  <c r="I66" i="5" s="1"/>
  <c r="J66" i="5" s="1"/>
  <c r="H67" i="5"/>
  <c r="I67" i="5" s="1"/>
  <c r="J67" i="5" s="1"/>
  <c r="H68" i="5"/>
  <c r="I68" i="5" s="1"/>
  <c r="J68" i="5" s="1"/>
  <c r="H69" i="5"/>
  <c r="I69" i="5" s="1"/>
  <c r="J69" i="5" s="1"/>
  <c r="H70" i="5"/>
  <c r="I70" i="5" s="1"/>
  <c r="J70" i="5" s="1"/>
  <c r="H71" i="5"/>
  <c r="I71" i="5" s="1"/>
  <c r="J71" i="5" s="1"/>
  <c r="H72" i="5"/>
  <c r="I72" i="5" s="1"/>
  <c r="J72" i="5" s="1"/>
  <c r="H73" i="5"/>
  <c r="I73" i="5" s="1"/>
  <c r="J73" i="5" s="1"/>
  <c r="H74" i="5"/>
  <c r="I74" i="5" s="1"/>
  <c r="J74" i="5" s="1"/>
  <c r="H75" i="5"/>
  <c r="I75" i="5" s="1"/>
  <c r="J75" i="5" s="1"/>
  <c r="H76" i="5"/>
  <c r="I76" i="5" s="1"/>
  <c r="J76" i="5" s="1"/>
  <c r="H77" i="5"/>
  <c r="I77" i="5" s="1"/>
  <c r="J77" i="5" s="1"/>
  <c r="H78" i="5"/>
  <c r="I78" i="5" s="1"/>
  <c r="J78" i="5" s="1"/>
  <c r="H79" i="5"/>
  <c r="I79" i="5" s="1"/>
  <c r="J79" i="5" s="1"/>
  <c r="H80" i="5"/>
  <c r="I80" i="5" s="1"/>
  <c r="J80" i="5" s="1"/>
  <c r="H81" i="5"/>
  <c r="I81" i="5" s="1"/>
  <c r="J81" i="5" s="1"/>
  <c r="H82" i="5"/>
  <c r="I82" i="5" s="1"/>
  <c r="J82" i="5" s="1"/>
  <c r="H83" i="5"/>
  <c r="I83" i="5" s="1"/>
  <c r="J83" i="5" s="1"/>
  <c r="H84" i="5"/>
  <c r="I84" i="5" s="1"/>
  <c r="J84" i="5" s="1"/>
  <c r="H85" i="5"/>
  <c r="I85" i="5" s="1"/>
  <c r="J85" i="5" s="1"/>
  <c r="H86" i="5"/>
  <c r="I86" i="5" s="1"/>
  <c r="J86" i="5" s="1"/>
  <c r="H87" i="5"/>
  <c r="I87" i="5" s="1"/>
  <c r="J87" i="5" s="1"/>
  <c r="H88" i="5"/>
  <c r="I88" i="5" s="1"/>
  <c r="J88" i="5" s="1"/>
  <c r="H89" i="5"/>
  <c r="I89" i="5" s="1"/>
  <c r="J89" i="5" s="1"/>
  <c r="H90" i="5"/>
  <c r="I90" i="5" s="1"/>
  <c r="J90" i="5" s="1"/>
  <c r="H91" i="5"/>
  <c r="I91" i="5" s="1"/>
  <c r="J91" i="5" s="1"/>
  <c r="H92" i="5"/>
  <c r="I92" i="5" s="1"/>
  <c r="J92" i="5" s="1"/>
  <c r="H93" i="5"/>
  <c r="I93" i="5" s="1"/>
  <c r="J93" i="5" s="1"/>
  <c r="H94" i="5"/>
  <c r="I94" i="5" s="1"/>
  <c r="J94" i="5" s="1"/>
  <c r="H95" i="5"/>
  <c r="I95" i="5" s="1"/>
  <c r="J95" i="5" s="1"/>
  <c r="H96" i="5"/>
  <c r="I96" i="5" s="1"/>
  <c r="J96" i="5" s="1"/>
  <c r="H97" i="5"/>
  <c r="I97" i="5" s="1"/>
  <c r="J97" i="5" s="1"/>
  <c r="H98" i="5"/>
  <c r="I98" i="5" s="1"/>
  <c r="J98" i="5" s="1"/>
  <c r="H99" i="5"/>
  <c r="I99" i="5" s="1"/>
  <c r="J99" i="5" s="1"/>
  <c r="H100" i="5"/>
  <c r="I100" i="5" s="1"/>
  <c r="J100" i="5" s="1"/>
  <c r="H101" i="5"/>
  <c r="I101" i="5" s="1"/>
  <c r="J101" i="5" s="1"/>
  <c r="H102" i="5"/>
  <c r="I102" i="5" s="1"/>
  <c r="J102" i="5" s="1"/>
  <c r="H103" i="5"/>
  <c r="I103" i="5" s="1"/>
  <c r="J103" i="5" s="1"/>
  <c r="H104" i="5"/>
  <c r="I104" i="5" s="1"/>
  <c r="J104" i="5" s="1"/>
  <c r="H105" i="5"/>
  <c r="I105" i="5" s="1"/>
  <c r="J105" i="5" s="1"/>
  <c r="H106" i="5"/>
  <c r="I106" i="5" s="1"/>
  <c r="J106" i="5" s="1"/>
  <c r="H107" i="5"/>
  <c r="I107" i="5" s="1"/>
  <c r="J107" i="5" s="1"/>
  <c r="H108" i="5"/>
  <c r="I108" i="5" s="1"/>
  <c r="J108" i="5" s="1"/>
  <c r="H109" i="5"/>
  <c r="I109" i="5" s="1"/>
  <c r="J109" i="5" s="1"/>
  <c r="H110" i="5"/>
  <c r="I110" i="5" s="1"/>
  <c r="J110" i="5" s="1"/>
  <c r="H111" i="5"/>
  <c r="I111" i="5" s="1"/>
  <c r="J111" i="5" s="1"/>
  <c r="H112" i="5"/>
  <c r="I112" i="5" s="1"/>
  <c r="J112" i="5" s="1"/>
  <c r="H113" i="5"/>
  <c r="I113" i="5" s="1"/>
  <c r="J113" i="5" s="1"/>
  <c r="H14" i="5"/>
  <c r="I14" i="5" s="1"/>
  <c r="J14" i="5" s="1"/>
  <c r="C34" i="1" l="1"/>
  <c r="K14" i="5"/>
  <c r="C16" i="1" s="1"/>
  <c r="C12" i="1" s="1"/>
  <c r="C34" i="103"/>
  <c r="K110" i="5"/>
  <c r="C16" i="103" s="1"/>
  <c r="C11" i="103" s="1"/>
  <c r="C34" i="99"/>
  <c r="K106" i="5"/>
  <c r="C16" i="99" s="1"/>
  <c r="C11" i="99" s="1"/>
  <c r="C34" i="93"/>
  <c r="K100" i="5"/>
  <c r="C16" i="93" s="1"/>
  <c r="D12" i="93" s="1"/>
  <c r="C34" i="73"/>
  <c r="K80" i="5"/>
  <c r="C16" i="73" s="1"/>
  <c r="E8" i="73" s="1"/>
  <c r="C34" i="6"/>
  <c r="K112" i="5"/>
  <c r="C16" i="6" s="1"/>
  <c r="C6" i="6" s="1"/>
  <c r="C34" i="101"/>
  <c r="K108" i="5"/>
  <c r="C16" i="101" s="1"/>
  <c r="D12" i="101" s="1"/>
  <c r="C34" i="97"/>
  <c r="K104" i="5"/>
  <c r="C16" i="97" s="1"/>
  <c r="D10" i="97" s="1"/>
  <c r="C34" i="95"/>
  <c r="K102" i="5"/>
  <c r="C16" i="95" s="1"/>
  <c r="C14" i="95" s="1"/>
  <c r="C34" i="91"/>
  <c r="K98" i="5"/>
  <c r="C16" i="91" s="1"/>
  <c r="D9" i="91" s="1"/>
  <c r="C34" i="89"/>
  <c r="K96" i="5"/>
  <c r="C16" i="89" s="1"/>
  <c r="D10" i="89" s="1"/>
  <c r="C34" i="87"/>
  <c r="K94" i="5"/>
  <c r="C16" i="87" s="1"/>
  <c r="C14" i="87" s="1"/>
  <c r="C34" i="85"/>
  <c r="K92" i="5"/>
  <c r="C16" i="85" s="1"/>
  <c r="D9" i="85" s="1"/>
  <c r="C34" i="83"/>
  <c r="K90" i="5"/>
  <c r="C16" i="83" s="1"/>
  <c r="E7" i="83" s="1"/>
  <c r="C34" i="81"/>
  <c r="K88" i="5"/>
  <c r="C16" i="81" s="1"/>
  <c r="C34" i="79"/>
  <c r="K86" i="5"/>
  <c r="C16" i="79" s="1"/>
  <c r="C9" i="79" s="1"/>
  <c r="C34" i="77"/>
  <c r="K84" i="5"/>
  <c r="C16" i="77" s="1"/>
  <c r="C14" i="77" s="1"/>
  <c r="C34" i="75"/>
  <c r="K82" i="5"/>
  <c r="C16" i="75" s="1"/>
  <c r="E7" i="75" s="1"/>
  <c r="C34" i="71"/>
  <c r="K78" i="5"/>
  <c r="C16" i="71" s="1"/>
  <c r="D8" i="71" s="1"/>
  <c r="C34" i="69"/>
  <c r="K76" i="5"/>
  <c r="C16" i="69" s="1"/>
  <c r="C6" i="69" s="1"/>
  <c r="C34" i="67"/>
  <c r="K74" i="5"/>
  <c r="C16" i="67" s="1"/>
  <c r="E7" i="67" s="1"/>
  <c r="C34" i="65"/>
  <c r="K72" i="5"/>
  <c r="C16" i="65" s="1"/>
  <c r="D10" i="65" s="1"/>
  <c r="C34" i="63"/>
  <c r="K70" i="5"/>
  <c r="C16" i="63" s="1"/>
  <c r="D7" i="63" s="1"/>
  <c r="C34" i="61"/>
  <c r="K68" i="5"/>
  <c r="C16" i="61" s="1"/>
  <c r="E8" i="61" s="1"/>
  <c r="C34" i="58"/>
  <c r="K66" i="5"/>
  <c r="C16" i="58" s="1"/>
  <c r="D11" i="58" s="1"/>
  <c r="C34" i="56"/>
  <c r="K64" i="5"/>
  <c r="C16" i="56" s="1"/>
  <c r="E9" i="56" s="1"/>
  <c r="C34" i="54"/>
  <c r="K62" i="5"/>
  <c r="C16" i="54" s="1"/>
  <c r="C6" i="54" s="1"/>
  <c r="C34" i="52"/>
  <c r="K60" i="5"/>
  <c r="C16" i="52" s="1"/>
  <c r="E7" i="52" s="1"/>
  <c r="C34" i="50"/>
  <c r="K58" i="5"/>
  <c r="C16" i="50" s="1"/>
  <c r="C10" i="50" s="1"/>
  <c r="C34" i="48"/>
  <c r="K56" i="5"/>
  <c r="C16" i="48" s="1"/>
  <c r="C34" i="46"/>
  <c r="K54" i="5"/>
  <c r="C16" i="46" s="1"/>
  <c r="E6" i="46" s="1"/>
  <c r="C34" i="44"/>
  <c r="K52" i="5"/>
  <c r="C16" i="44" s="1"/>
  <c r="D9" i="44" s="1"/>
  <c r="C34" i="42"/>
  <c r="K50" i="5"/>
  <c r="C16" i="42" s="1"/>
  <c r="D11" i="42" s="1"/>
  <c r="C34" i="40"/>
  <c r="K48" i="5"/>
  <c r="C16" i="40" s="1"/>
  <c r="D10" i="40" s="1"/>
  <c r="C34" i="38"/>
  <c r="K46" i="5"/>
  <c r="C16" i="38" s="1"/>
  <c r="E6" i="38" s="1"/>
  <c r="F6" i="38" s="1"/>
  <c r="C34" i="36"/>
  <c r="K44" i="5"/>
  <c r="C16" i="36" s="1"/>
  <c r="D9" i="36" s="1"/>
  <c r="C34" i="34"/>
  <c r="K42" i="5"/>
  <c r="C16" i="34" s="1"/>
  <c r="C13" i="34" s="1"/>
  <c r="C34" i="32"/>
  <c r="K40" i="5"/>
  <c r="C16" i="32" s="1"/>
  <c r="C10" i="32" s="1"/>
  <c r="C34" i="30"/>
  <c r="K38" i="5"/>
  <c r="C16" i="30" s="1"/>
  <c r="C7" i="30" s="1"/>
  <c r="C34" i="28"/>
  <c r="K36" i="5"/>
  <c r="C16" i="28" s="1"/>
  <c r="D8" i="28" s="1"/>
  <c r="C34" i="26"/>
  <c r="K34" i="5"/>
  <c r="C16" i="26" s="1"/>
  <c r="C12" i="26" s="1"/>
  <c r="C34" i="24"/>
  <c r="K32" i="5"/>
  <c r="C16" i="24" s="1"/>
  <c r="C14" i="24" s="1"/>
  <c r="C34" i="22"/>
  <c r="K30" i="5"/>
  <c r="C16" i="22" s="1"/>
  <c r="E8" i="22" s="1"/>
  <c r="C34" i="20"/>
  <c r="K28" i="5"/>
  <c r="C16" i="20" s="1"/>
  <c r="E8" i="20" s="1"/>
  <c r="C34" i="16"/>
  <c r="K24" i="5"/>
  <c r="C16" i="16" s="1"/>
  <c r="E7" i="16" s="1"/>
  <c r="C34" i="14"/>
  <c r="K22" i="5"/>
  <c r="C16" i="14" s="1"/>
  <c r="C9" i="14" s="1"/>
  <c r="C36" i="12"/>
  <c r="K20" i="5"/>
  <c r="C16" i="12" s="1"/>
  <c r="D11" i="12" s="1"/>
  <c r="C35" i="10"/>
  <c r="K18" i="5"/>
  <c r="C16" i="10" s="1"/>
  <c r="C10" i="10" s="1"/>
  <c r="C34" i="3"/>
  <c r="K16" i="5"/>
  <c r="C16" i="3" s="1"/>
  <c r="E8" i="3" s="1"/>
  <c r="H34" i="1"/>
  <c r="Q14" i="5"/>
  <c r="H16" i="1" s="1"/>
  <c r="H34" i="3"/>
  <c r="Q16" i="5"/>
  <c r="H16" i="3" s="1"/>
  <c r="I10" i="3" s="1"/>
  <c r="H35" i="10"/>
  <c r="Q18" i="5"/>
  <c r="H16" i="10" s="1"/>
  <c r="J10" i="10" s="1"/>
  <c r="H36" i="12"/>
  <c r="Q20" i="5"/>
  <c r="H16" i="12" s="1"/>
  <c r="H34" i="14"/>
  <c r="Q22" i="5"/>
  <c r="H16" i="14" s="1"/>
  <c r="I8" i="14" s="1"/>
  <c r="H34" i="16"/>
  <c r="Q24" i="5"/>
  <c r="H16" i="16" s="1"/>
  <c r="H34" i="18"/>
  <c r="Q26" i="5"/>
  <c r="H16" i="18" s="1"/>
  <c r="I14" i="18" s="1"/>
  <c r="H34" i="20"/>
  <c r="Q28" i="5"/>
  <c r="H16" i="20" s="1"/>
  <c r="H10" i="20" s="1"/>
  <c r="H34" i="22"/>
  <c r="Q30" i="5"/>
  <c r="H16" i="22" s="1"/>
  <c r="I9" i="22" s="1"/>
  <c r="E18" i="22" s="1"/>
  <c r="H34" i="24"/>
  <c r="Q32" i="5"/>
  <c r="H16" i="24" s="1"/>
  <c r="H34" i="26"/>
  <c r="Q34" i="5"/>
  <c r="H16" i="26" s="1"/>
  <c r="I12" i="26" s="1"/>
  <c r="H34" i="28"/>
  <c r="Q36" i="5"/>
  <c r="H16" i="28" s="1"/>
  <c r="H34" i="30"/>
  <c r="Q38" i="5"/>
  <c r="H16" i="30" s="1"/>
  <c r="H10" i="30" s="1"/>
  <c r="H34" i="32"/>
  <c r="Q40" i="5"/>
  <c r="H16" i="32" s="1"/>
  <c r="J12" i="32" s="1"/>
  <c r="H34" i="34"/>
  <c r="Q42" i="5"/>
  <c r="H16" i="34" s="1"/>
  <c r="H34" i="36"/>
  <c r="Q44" i="5"/>
  <c r="H16" i="36" s="1"/>
  <c r="H34" i="38"/>
  <c r="Q46" i="5"/>
  <c r="H16" i="38" s="1"/>
  <c r="H34" i="40"/>
  <c r="Q48" i="5"/>
  <c r="H16" i="40" s="1"/>
  <c r="H34" i="42"/>
  <c r="Q50" i="5"/>
  <c r="H16" i="42" s="1"/>
  <c r="H34" i="44"/>
  <c r="Q52" i="5"/>
  <c r="H16" i="44" s="1"/>
  <c r="H12" i="44" s="1"/>
  <c r="H34" i="46"/>
  <c r="Q54" i="5"/>
  <c r="H16" i="46" s="1"/>
  <c r="H34" i="48"/>
  <c r="Q56" i="5"/>
  <c r="H16" i="48" s="1"/>
  <c r="H34" i="50"/>
  <c r="Q58" i="5"/>
  <c r="H16" i="50" s="1"/>
  <c r="H8" i="50" s="1"/>
  <c r="H34" i="52"/>
  <c r="Q60" i="5"/>
  <c r="H16" i="52" s="1"/>
  <c r="I12" i="52" s="1"/>
  <c r="H34" i="54"/>
  <c r="Q62" i="5"/>
  <c r="H16" i="54" s="1"/>
  <c r="H34" i="56"/>
  <c r="Q64" i="5"/>
  <c r="H16" i="56" s="1"/>
  <c r="J13" i="56" s="1"/>
  <c r="H34" i="58"/>
  <c r="Q66" i="5"/>
  <c r="H16" i="58" s="1"/>
  <c r="H34" i="61"/>
  <c r="Q68" i="5"/>
  <c r="H16" i="61" s="1"/>
  <c r="H34" i="63"/>
  <c r="Q70" i="5"/>
  <c r="H16" i="63" s="1"/>
  <c r="H34" i="65"/>
  <c r="Q72" i="5"/>
  <c r="H16" i="65" s="1"/>
  <c r="H34" i="67"/>
  <c r="Q74" i="5"/>
  <c r="H16" i="67" s="1"/>
  <c r="H34" i="69"/>
  <c r="Q76" i="5"/>
  <c r="H16" i="69" s="1"/>
  <c r="H34" i="71"/>
  <c r="Q78" i="5"/>
  <c r="H16" i="71" s="1"/>
  <c r="H34" i="73"/>
  <c r="Q80" i="5"/>
  <c r="H16" i="73" s="1"/>
  <c r="I11" i="73" s="1"/>
  <c r="H34" i="75"/>
  <c r="Q82" i="5"/>
  <c r="H16" i="75" s="1"/>
  <c r="H10" i="75" s="1"/>
  <c r="H34" i="77"/>
  <c r="Q84" i="5"/>
  <c r="H16" i="77" s="1"/>
  <c r="H34" i="79"/>
  <c r="Q86" i="5"/>
  <c r="H16" i="79" s="1"/>
  <c r="I8" i="79" s="1"/>
  <c r="H34" i="81"/>
  <c r="Q88" i="5"/>
  <c r="H16" i="81" s="1"/>
  <c r="H34" i="83"/>
  <c r="Q90" i="5"/>
  <c r="H16" i="83" s="1"/>
  <c r="H11" i="83" s="1"/>
  <c r="H34" i="85"/>
  <c r="Q92" i="5"/>
  <c r="H16" i="85" s="1"/>
  <c r="H9" i="85" s="1"/>
  <c r="H34" i="87"/>
  <c r="Q94" i="5"/>
  <c r="H16" i="87" s="1"/>
  <c r="J13" i="87" s="1"/>
  <c r="H34" i="89"/>
  <c r="Q96" i="5"/>
  <c r="H16" i="89" s="1"/>
  <c r="H7" i="89" s="1"/>
  <c r="H34" i="91"/>
  <c r="Q98" i="5"/>
  <c r="H16" i="91" s="1"/>
  <c r="H34" i="93"/>
  <c r="Q100" i="5"/>
  <c r="H16" i="93" s="1"/>
  <c r="H10" i="93" s="1"/>
  <c r="H34" i="95"/>
  <c r="Q102" i="5"/>
  <c r="H16" i="95" s="1"/>
  <c r="H14" i="95" s="1"/>
  <c r="H34" i="97"/>
  <c r="Q104" i="5"/>
  <c r="H16" i="97" s="1"/>
  <c r="H34" i="99"/>
  <c r="Q106" i="5"/>
  <c r="H16" i="99" s="1"/>
  <c r="H7" i="99" s="1"/>
  <c r="H34" i="101"/>
  <c r="Q108" i="5"/>
  <c r="H16" i="101" s="1"/>
  <c r="H34" i="103"/>
  <c r="Q110" i="5"/>
  <c r="H16" i="103" s="1"/>
  <c r="I14" i="103" s="1"/>
  <c r="H34" i="6"/>
  <c r="Q112" i="5"/>
  <c r="H16" i="6" s="1"/>
  <c r="H14" i="6" s="1"/>
  <c r="C34" i="7"/>
  <c r="K113" i="5"/>
  <c r="C16" i="7" s="1"/>
  <c r="E7" i="7" s="1"/>
  <c r="C34" i="8"/>
  <c r="K111" i="5"/>
  <c r="C16" i="8" s="1"/>
  <c r="E6" i="8" s="1"/>
  <c r="C34" i="102"/>
  <c r="K109" i="5"/>
  <c r="C16" i="102" s="1"/>
  <c r="C34" i="100"/>
  <c r="K107" i="5"/>
  <c r="C16" i="100" s="1"/>
  <c r="D8" i="100" s="1"/>
  <c r="C34" i="98"/>
  <c r="K105" i="5"/>
  <c r="C16" i="98" s="1"/>
  <c r="C34" i="96"/>
  <c r="K103" i="5"/>
  <c r="C16" i="96" s="1"/>
  <c r="C14" i="96" s="1"/>
  <c r="C34" i="94"/>
  <c r="K101" i="5"/>
  <c r="C16" i="94" s="1"/>
  <c r="C12" i="94" s="1"/>
  <c r="C34" i="92"/>
  <c r="K99" i="5"/>
  <c r="C16" i="92" s="1"/>
  <c r="C6" i="92" s="1"/>
  <c r="C34" i="90"/>
  <c r="K97" i="5"/>
  <c r="C16" i="90" s="1"/>
  <c r="E6" i="90" s="1"/>
  <c r="C34" i="88"/>
  <c r="K95" i="5"/>
  <c r="C16" i="88" s="1"/>
  <c r="D8" i="88" s="1"/>
  <c r="C34" i="86"/>
  <c r="K93" i="5"/>
  <c r="C16" i="86" s="1"/>
  <c r="C11" i="86" s="1"/>
  <c r="C34" i="84"/>
  <c r="K91" i="5"/>
  <c r="C16" i="84" s="1"/>
  <c r="C34" i="82"/>
  <c r="K89" i="5"/>
  <c r="C16" i="82" s="1"/>
  <c r="E9" i="82" s="1"/>
  <c r="C34" i="80"/>
  <c r="K87" i="5"/>
  <c r="C16" i="80" s="1"/>
  <c r="C34" i="78"/>
  <c r="K85" i="5"/>
  <c r="C16" i="78" s="1"/>
  <c r="E8" i="78" s="1"/>
  <c r="C34" i="76"/>
  <c r="K83" i="5"/>
  <c r="C16" i="76" s="1"/>
  <c r="C14" i="76" s="1"/>
  <c r="C34" i="74"/>
  <c r="K81" i="5"/>
  <c r="C16" i="74" s="1"/>
  <c r="D8" i="74" s="1"/>
  <c r="C34" i="72"/>
  <c r="K79" i="5"/>
  <c r="C16" i="72" s="1"/>
  <c r="C11" i="72" s="1"/>
  <c r="C34" i="70"/>
  <c r="K77" i="5"/>
  <c r="C16" i="70" s="1"/>
  <c r="C7" i="70" s="1"/>
  <c r="C34" i="68"/>
  <c r="K75" i="5"/>
  <c r="C16" i="68" s="1"/>
  <c r="C7" i="68" s="1"/>
  <c r="C34" i="66"/>
  <c r="K73" i="5"/>
  <c r="C16" i="66" s="1"/>
  <c r="E8" i="66" s="1"/>
  <c r="C34" i="64"/>
  <c r="K71" i="5"/>
  <c r="C16" i="64" s="1"/>
  <c r="C13" i="64" s="1"/>
  <c r="C34" i="62"/>
  <c r="K69" i="5"/>
  <c r="C16" i="62" s="1"/>
  <c r="E7" i="62" s="1"/>
  <c r="C34" i="59"/>
  <c r="K67" i="5"/>
  <c r="C16" i="59" s="1"/>
  <c r="C34" i="57"/>
  <c r="K65" i="5"/>
  <c r="C16" i="57" s="1"/>
  <c r="E6" i="57" s="1"/>
  <c r="C34" i="55"/>
  <c r="K63" i="5"/>
  <c r="C16" i="55" s="1"/>
  <c r="C34" i="53"/>
  <c r="K61" i="5"/>
  <c r="C16" i="53" s="1"/>
  <c r="C14" i="53" s="1"/>
  <c r="C34" i="51"/>
  <c r="K59" i="5"/>
  <c r="C16" i="51" s="1"/>
  <c r="C34" i="49"/>
  <c r="K57" i="5"/>
  <c r="C16" i="49" s="1"/>
  <c r="D11" i="49" s="1"/>
  <c r="C34" i="47"/>
  <c r="K55" i="5"/>
  <c r="C16" i="47" s="1"/>
  <c r="C9" i="47" s="1"/>
  <c r="C34" i="45"/>
  <c r="K53" i="5"/>
  <c r="C16" i="45" s="1"/>
  <c r="C34" i="43"/>
  <c r="K51" i="5"/>
  <c r="C16" i="43" s="1"/>
  <c r="E7" i="43" s="1"/>
  <c r="C34" i="41"/>
  <c r="K49" i="5"/>
  <c r="C16" i="41" s="1"/>
  <c r="C34" i="39"/>
  <c r="K47" i="5"/>
  <c r="C16" i="39" s="1"/>
  <c r="D8" i="39" s="1"/>
  <c r="C34" i="37"/>
  <c r="K45" i="5"/>
  <c r="C16" i="37" s="1"/>
  <c r="D8" i="37" s="1"/>
  <c r="C34" i="35"/>
  <c r="K43" i="5"/>
  <c r="C16" i="35" s="1"/>
  <c r="D7" i="35" s="1"/>
  <c r="C34" i="33"/>
  <c r="K41" i="5"/>
  <c r="C16" i="33" s="1"/>
  <c r="C34" i="31"/>
  <c r="K39" i="5"/>
  <c r="C16" i="31" s="1"/>
  <c r="C14" i="31" s="1"/>
  <c r="C34" i="29"/>
  <c r="K37" i="5"/>
  <c r="C16" i="29" s="1"/>
  <c r="C11" i="29" s="1"/>
  <c r="C34" i="27"/>
  <c r="K35" i="5"/>
  <c r="C16" i="27" s="1"/>
  <c r="C34" i="25"/>
  <c r="K33" i="5"/>
  <c r="C16" i="25" s="1"/>
  <c r="C7" i="25" s="1"/>
  <c r="C34" i="23"/>
  <c r="K31" i="5"/>
  <c r="C16" i="23" s="1"/>
  <c r="C34" i="21"/>
  <c r="K29" i="5"/>
  <c r="C16" i="21" s="1"/>
  <c r="C13" i="21" s="1"/>
  <c r="C34" i="19"/>
  <c r="K27" i="5"/>
  <c r="C16" i="19" s="1"/>
  <c r="C34" i="17"/>
  <c r="K25" i="5"/>
  <c r="C16" i="17" s="1"/>
  <c r="D12" i="17" s="1"/>
  <c r="C34" i="15"/>
  <c r="K23" i="5"/>
  <c r="C16" i="15" s="1"/>
  <c r="C6" i="15" s="1"/>
  <c r="C35" i="13"/>
  <c r="K21" i="5"/>
  <c r="C16" i="13" s="1"/>
  <c r="C35" i="11"/>
  <c r="K19" i="5"/>
  <c r="C16" i="11" s="1"/>
  <c r="C35" i="9"/>
  <c r="K17" i="5"/>
  <c r="C16" i="9" s="1"/>
  <c r="C34" i="2"/>
  <c r="K15" i="5"/>
  <c r="C16" i="2" s="1"/>
  <c r="H34" i="2"/>
  <c r="Q15" i="5"/>
  <c r="H16" i="2" s="1"/>
  <c r="H35" i="9"/>
  <c r="Q17" i="5"/>
  <c r="H16" i="9" s="1"/>
  <c r="H35" i="11"/>
  <c r="Q19" i="5"/>
  <c r="H16" i="11" s="1"/>
  <c r="H35" i="13"/>
  <c r="Q21" i="5"/>
  <c r="H16" i="13" s="1"/>
  <c r="H14" i="13" s="1"/>
  <c r="H34" i="15"/>
  <c r="Q23" i="5"/>
  <c r="H16" i="15" s="1"/>
  <c r="H34" i="17"/>
  <c r="Q25" i="5"/>
  <c r="H16" i="17" s="1"/>
  <c r="H34" i="19"/>
  <c r="Q27" i="5"/>
  <c r="H16" i="19" s="1"/>
  <c r="J9" i="19" s="1"/>
  <c r="H34" i="21"/>
  <c r="Q29" i="5"/>
  <c r="H16" i="21" s="1"/>
  <c r="H34" i="23"/>
  <c r="Q31" i="5"/>
  <c r="H16" i="23" s="1"/>
  <c r="H34" i="25"/>
  <c r="Q33" i="5"/>
  <c r="H16" i="25" s="1"/>
  <c r="H12" i="25" s="1"/>
  <c r="H34" i="27"/>
  <c r="Q35" i="5"/>
  <c r="H16" i="27" s="1"/>
  <c r="H34" i="29"/>
  <c r="Q37" i="5"/>
  <c r="H16" i="29" s="1"/>
  <c r="I13" i="29" s="1"/>
  <c r="H34" i="31"/>
  <c r="Q39" i="5"/>
  <c r="H16" i="31" s="1"/>
  <c r="H34" i="33"/>
  <c r="Q41" i="5"/>
  <c r="H16" i="33" s="1"/>
  <c r="H9" i="33" s="1"/>
  <c r="H34" i="35"/>
  <c r="Q43" i="5"/>
  <c r="H16" i="35" s="1"/>
  <c r="H7" i="35" s="1"/>
  <c r="H34" i="37"/>
  <c r="Q45" i="5"/>
  <c r="H16" i="37" s="1"/>
  <c r="H34" i="39"/>
  <c r="Q47" i="5"/>
  <c r="H16" i="39" s="1"/>
  <c r="H34" i="41"/>
  <c r="Q49" i="5"/>
  <c r="H16" i="41" s="1"/>
  <c r="H34" i="43"/>
  <c r="Q51" i="5"/>
  <c r="H16" i="43" s="1"/>
  <c r="H34" i="45"/>
  <c r="Q53" i="5"/>
  <c r="H16" i="45" s="1"/>
  <c r="H34" i="47"/>
  <c r="Q55" i="5"/>
  <c r="H16" i="47" s="1"/>
  <c r="J14" i="47" s="1"/>
  <c r="H34" i="49"/>
  <c r="Q57" i="5"/>
  <c r="H16" i="49" s="1"/>
  <c r="H34" i="51"/>
  <c r="Q59" i="5"/>
  <c r="H16" i="51" s="1"/>
  <c r="H34" i="53"/>
  <c r="Q61" i="5"/>
  <c r="H16" i="53" s="1"/>
  <c r="H34" i="55"/>
  <c r="Q63" i="5"/>
  <c r="H16" i="55" s="1"/>
  <c r="H34" i="57"/>
  <c r="Q65" i="5"/>
  <c r="H16" i="57" s="1"/>
  <c r="H34" i="59"/>
  <c r="Q67" i="5"/>
  <c r="H16" i="59" s="1"/>
  <c r="H34" i="62"/>
  <c r="Q69" i="5"/>
  <c r="H16" i="62" s="1"/>
  <c r="H34" i="64"/>
  <c r="Q71" i="5"/>
  <c r="H16" i="64" s="1"/>
  <c r="H34" i="66"/>
  <c r="Q73" i="5"/>
  <c r="H16" i="66" s="1"/>
  <c r="H34" i="68"/>
  <c r="Q75" i="5"/>
  <c r="H16" i="68" s="1"/>
  <c r="H11" i="68" s="1"/>
  <c r="H34" i="70"/>
  <c r="Q77" i="5"/>
  <c r="H16" i="70" s="1"/>
  <c r="H7" i="70" s="1"/>
  <c r="H34" i="72"/>
  <c r="Q79" i="5"/>
  <c r="H16" i="72" s="1"/>
  <c r="H34" i="74"/>
  <c r="Q81" i="5"/>
  <c r="H16" i="74" s="1"/>
  <c r="I10" i="74" s="1"/>
  <c r="H34" i="76"/>
  <c r="Q83" i="5"/>
  <c r="H16" i="76" s="1"/>
  <c r="J10" i="76" s="1"/>
  <c r="E19" i="76" s="1"/>
  <c r="H34" i="78"/>
  <c r="Q85" i="5"/>
  <c r="H16" i="78" s="1"/>
  <c r="H34" i="80"/>
  <c r="Q87" i="5"/>
  <c r="H16" i="80" s="1"/>
  <c r="H11" i="80" s="1"/>
  <c r="H34" i="82"/>
  <c r="Q89" i="5"/>
  <c r="H16" i="82" s="1"/>
  <c r="H34" i="84"/>
  <c r="Q91" i="5"/>
  <c r="H16" i="84" s="1"/>
  <c r="H34" i="86"/>
  <c r="J31" i="86" s="1"/>
  <c r="Q93" i="5"/>
  <c r="H16" i="86" s="1"/>
  <c r="H34" i="88"/>
  <c r="Q95" i="5"/>
  <c r="H16" i="88" s="1"/>
  <c r="H34" i="90"/>
  <c r="Q97" i="5"/>
  <c r="H16" i="90" s="1"/>
  <c r="H34" i="92"/>
  <c r="Q99" i="5"/>
  <c r="H16" i="92" s="1"/>
  <c r="J14" i="92" s="1"/>
  <c r="H34" i="94"/>
  <c r="Q101" i="5"/>
  <c r="H16" i="94" s="1"/>
  <c r="H34" i="96"/>
  <c r="Q103" i="5"/>
  <c r="H16" i="96" s="1"/>
  <c r="H34" i="98"/>
  <c r="Q105" i="5"/>
  <c r="H16" i="98" s="1"/>
  <c r="H34" i="100"/>
  <c r="Q107" i="5"/>
  <c r="H16" i="100" s="1"/>
  <c r="H34" i="102"/>
  <c r="Q109" i="5"/>
  <c r="H16" i="102" s="1"/>
  <c r="H34" i="8"/>
  <c r="Q111" i="5"/>
  <c r="H16" i="8" s="1"/>
  <c r="H34" i="7"/>
  <c r="Q113" i="5"/>
  <c r="H16" i="7" s="1"/>
  <c r="J26" i="5"/>
  <c r="J14" i="57" l="1"/>
  <c r="J13" i="57"/>
  <c r="I7" i="2"/>
  <c r="J12" i="2"/>
  <c r="I28" i="82"/>
  <c r="H28" i="82"/>
  <c r="J28" i="82"/>
  <c r="H28" i="23"/>
  <c r="J28" i="23"/>
  <c r="I28" i="23"/>
  <c r="H29" i="9"/>
  <c r="J29" i="9"/>
  <c r="E38" i="9" s="1"/>
  <c r="I29" i="9"/>
  <c r="H28" i="38"/>
  <c r="J28" i="38"/>
  <c r="I28" i="38"/>
  <c r="I10" i="82"/>
  <c r="H10" i="82"/>
  <c r="J10" i="82"/>
  <c r="H10" i="38"/>
  <c r="J10" i="38"/>
  <c r="I10" i="38"/>
  <c r="H8" i="23"/>
  <c r="I10" i="23"/>
  <c r="J10" i="23"/>
  <c r="E19" i="23" s="1"/>
  <c r="H10" i="23"/>
  <c r="H10" i="9"/>
  <c r="J10" i="9"/>
  <c r="E19" i="9" s="1"/>
  <c r="I10" i="9"/>
  <c r="H10" i="39"/>
  <c r="J10" i="39"/>
  <c r="E19" i="39" s="1"/>
  <c r="I10" i="39"/>
  <c r="H10" i="11"/>
  <c r="J10" i="11"/>
  <c r="E19" i="11" s="1"/>
  <c r="I10" i="11"/>
  <c r="H10" i="10"/>
  <c r="E19" i="10"/>
  <c r="I10" i="10"/>
  <c r="J32" i="9"/>
  <c r="J33" i="9"/>
  <c r="H7" i="34"/>
  <c r="H6" i="34"/>
  <c r="J32" i="69"/>
  <c r="J31" i="69"/>
  <c r="J13" i="69"/>
  <c r="J14" i="69"/>
  <c r="J32" i="84"/>
  <c r="J31" i="84"/>
  <c r="J32" i="82"/>
  <c r="J31" i="82"/>
  <c r="J32" i="78"/>
  <c r="J31" i="78"/>
  <c r="J32" i="64"/>
  <c r="J31" i="64"/>
  <c r="J31" i="43"/>
  <c r="J32" i="43"/>
  <c r="J31" i="17"/>
  <c r="J32" i="17"/>
  <c r="J32" i="2"/>
  <c r="J31" i="2"/>
  <c r="J32" i="58"/>
  <c r="J31" i="58"/>
  <c r="J32" i="46"/>
  <c r="J31" i="46"/>
  <c r="J9" i="1"/>
  <c r="H7" i="1"/>
  <c r="H8" i="1"/>
  <c r="J32" i="101"/>
  <c r="J31" i="101"/>
  <c r="I9" i="8"/>
  <c r="E18" i="8" s="1"/>
  <c r="J14" i="8"/>
  <c r="J13" i="8"/>
  <c r="J31" i="8"/>
  <c r="J32" i="8"/>
  <c r="J13" i="101"/>
  <c r="J14" i="101"/>
  <c r="H9" i="58"/>
  <c r="J14" i="58"/>
  <c r="J13" i="58"/>
  <c r="J14" i="11"/>
  <c r="J13" i="84"/>
  <c r="J14" i="84"/>
  <c r="J10" i="46"/>
  <c r="E19" i="46" s="1"/>
  <c r="J14" i="46"/>
  <c r="J13" i="46"/>
  <c r="C6" i="103"/>
  <c r="J14" i="82"/>
  <c r="J13" i="82"/>
  <c r="J14" i="78"/>
  <c r="J13" i="78"/>
  <c r="I10" i="43"/>
  <c r="J14" i="43"/>
  <c r="J13" i="43"/>
  <c r="D12" i="103"/>
  <c r="C7" i="85"/>
  <c r="C8" i="6"/>
  <c r="E8" i="103"/>
  <c r="D11" i="97"/>
  <c r="E9" i="101"/>
  <c r="H14" i="64"/>
  <c r="J14" i="64"/>
  <c r="J13" i="64"/>
  <c r="I9" i="36"/>
  <c r="E18" i="36" s="1"/>
  <c r="J14" i="36"/>
  <c r="J13" i="36"/>
  <c r="J14" i="28"/>
  <c r="J13" i="28"/>
  <c r="H7" i="3"/>
  <c r="J14" i="3"/>
  <c r="J13" i="3"/>
  <c r="J32" i="72"/>
  <c r="J31" i="72"/>
  <c r="J32" i="63"/>
  <c r="J31" i="63"/>
  <c r="J32" i="38"/>
  <c r="J31" i="38"/>
  <c r="J32" i="36"/>
  <c r="J31" i="36"/>
  <c r="J32" i="28"/>
  <c r="J31" i="28"/>
  <c r="J32" i="3"/>
  <c r="J31" i="3"/>
  <c r="C7" i="6"/>
  <c r="C11" i="6"/>
  <c r="C11" i="101"/>
  <c r="E7" i="65"/>
  <c r="J10" i="3"/>
  <c r="E19" i="3" s="1"/>
  <c r="E7" i="38"/>
  <c r="I8" i="12"/>
  <c r="J14" i="12"/>
  <c r="J13" i="12"/>
  <c r="J34" i="12"/>
  <c r="J33" i="12"/>
  <c r="J13" i="72"/>
  <c r="J14" i="72"/>
  <c r="J14" i="63"/>
  <c r="J13" i="63"/>
  <c r="H13" i="38"/>
  <c r="J13" i="38"/>
  <c r="K13" i="38" s="1"/>
  <c r="J14" i="38"/>
  <c r="K14" i="38" s="1"/>
  <c r="E6" i="101"/>
  <c r="D7" i="97"/>
  <c r="D12" i="91"/>
  <c r="D6" i="101"/>
  <c r="D8" i="72"/>
  <c r="D11" i="24"/>
  <c r="D9" i="52"/>
  <c r="D7" i="83"/>
  <c r="H11" i="12"/>
  <c r="C6" i="91"/>
  <c r="D10" i="87"/>
  <c r="D9" i="17"/>
  <c r="E9" i="12"/>
  <c r="D12" i="6"/>
  <c r="C8" i="87"/>
  <c r="E8" i="10"/>
  <c r="D12" i="30"/>
  <c r="C7" i="44"/>
  <c r="D12" i="58"/>
  <c r="C10" i="73"/>
  <c r="E9" i="93"/>
  <c r="H6" i="1"/>
  <c r="J31" i="21"/>
  <c r="J32" i="21"/>
  <c r="J32" i="11"/>
  <c r="J33" i="11"/>
  <c r="H25" i="1"/>
  <c r="H24" i="1"/>
  <c r="J31" i="1"/>
  <c r="J32" i="1"/>
  <c r="I13" i="3"/>
  <c r="C9" i="77"/>
  <c r="D11" i="83"/>
  <c r="D7" i="16"/>
  <c r="D7" i="14"/>
  <c r="E7" i="10"/>
  <c r="E6" i="3"/>
  <c r="D10" i="43"/>
  <c r="E9" i="77"/>
  <c r="D10" i="28"/>
  <c r="E6" i="34"/>
  <c r="D8" i="40"/>
  <c r="C13" i="46"/>
  <c r="D12" i="54"/>
  <c r="C7" i="63"/>
  <c r="I8" i="17"/>
  <c r="J11" i="17"/>
  <c r="E20" i="17" s="1"/>
  <c r="E9" i="13"/>
  <c r="E8" i="13"/>
  <c r="E8" i="15"/>
  <c r="D12" i="15"/>
  <c r="D6" i="19"/>
  <c r="D11" i="19"/>
  <c r="E8" i="19"/>
  <c r="C12" i="23"/>
  <c r="C11" i="23"/>
  <c r="D9" i="23"/>
  <c r="C11" i="27"/>
  <c r="C12" i="27"/>
  <c r="D10" i="31"/>
  <c r="D7" i="31"/>
  <c r="D10" i="35"/>
  <c r="C14" i="35"/>
  <c r="D8" i="35"/>
  <c r="C12" i="39"/>
  <c r="E9" i="39"/>
  <c r="D8" i="41"/>
  <c r="D11" i="41"/>
  <c r="D7" i="41"/>
  <c r="D9" i="45"/>
  <c r="C13" i="45"/>
  <c r="C10" i="45"/>
  <c r="D8" i="49"/>
  <c r="C14" i="49"/>
  <c r="E9" i="53"/>
  <c r="E8" i="53"/>
  <c r="D9" i="57"/>
  <c r="C13" i="57"/>
  <c r="E7" i="57"/>
  <c r="D9" i="62"/>
  <c r="E6" i="62"/>
  <c r="E9" i="81"/>
  <c r="C10" i="81"/>
  <c r="J10" i="12"/>
  <c r="E19" i="12" s="1"/>
  <c r="J9" i="12"/>
  <c r="I12" i="12"/>
  <c r="J12" i="3"/>
  <c r="H8" i="3"/>
  <c r="H9" i="3"/>
  <c r="J11" i="3"/>
  <c r="E20" i="3" s="1"/>
  <c r="I14" i="1"/>
  <c r="I12" i="1"/>
  <c r="D10" i="22"/>
  <c r="C11" i="22"/>
  <c r="J12" i="19"/>
  <c r="I12" i="19"/>
  <c r="E9" i="2"/>
  <c r="C11" i="2"/>
  <c r="E6" i="11"/>
  <c r="C13" i="11"/>
  <c r="C10" i="21"/>
  <c r="E6" i="21"/>
  <c r="C13" i="25"/>
  <c r="E6" i="25"/>
  <c r="C12" i="29"/>
  <c r="C9" i="29"/>
  <c r="C14" i="33"/>
  <c r="D11" i="33"/>
  <c r="C13" i="47"/>
  <c r="D9" i="47"/>
  <c r="D11" i="51"/>
  <c r="D10" i="51"/>
  <c r="C13" i="55"/>
  <c r="C10" i="55"/>
  <c r="D12" i="59"/>
  <c r="C9" i="59"/>
  <c r="D9" i="64"/>
  <c r="C10" i="64"/>
  <c r="D10" i="80"/>
  <c r="C10" i="80"/>
  <c r="E8" i="80"/>
  <c r="D10" i="84"/>
  <c r="D6" i="84"/>
  <c r="E9" i="98"/>
  <c r="D9" i="98"/>
  <c r="D6" i="102"/>
  <c r="D11" i="102"/>
  <c r="C7" i="8"/>
  <c r="D9" i="8"/>
  <c r="H9" i="17"/>
  <c r="C13" i="8"/>
  <c r="D10" i="102"/>
  <c r="D6" i="53"/>
  <c r="D8" i="27"/>
  <c r="C10" i="11"/>
  <c r="C9" i="23"/>
  <c r="E6" i="27"/>
  <c r="D8" i="31"/>
  <c r="D10" i="33"/>
  <c r="C8" i="37"/>
  <c r="C14" i="41"/>
  <c r="E6" i="45"/>
  <c r="D7" i="49"/>
  <c r="D8" i="51"/>
  <c r="D9" i="55"/>
  <c r="D11" i="59"/>
  <c r="C13" i="62"/>
  <c r="C11" i="88"/>
  <c r="E9" i="96"/>
  <c r="D11" i="8"/>
  <c r="D8" i="15"/>
  <c r="D10" i="16"/>
  <c r="D10" i="14"/>
  <c r="E7" i="12"/>
  <c r="C9" i="65"/>
  <c r="C9" i="85"/>
  <c r="C11" i="26"/>
  <c r="D7" i="30"/>
  <c r="D9" i="32"/>
  <c r="C10" i="36"/>
  <c r="C13" i="38"/>
  <c r="C14" i="42"/>
  <c r="D8" i="46"/>
  <c r="C13" i="50"/>
  <c r="C7" i="54"/>
  <c r="E8" i="56"/>
  <c r="E9" i="61"/>
  <c r="I12" i="66"/>
  <c r="I7" i="66"/>
  <c r="D12" i="66"/>
  <c r="C6" i="66"/>
  <c r="C10" i="66"/>
  <c r="C9" i="68"/>
  <c r="D9" i="68"/>
  <c r="C13" i="70"/>
  <c r="E6" i="70"/>
  <c r="D8" i="70"/>
  <c r="C8" i="72"/>
  <c r="C13" i="72"/>
  <c r="D11" i="74"/>
  <c r="C14" i="74"/>
  <c r="C8" i="74"/>
  <c r="D8" i="76"/>
  <c r="E8" i="76"/>
  <c r="D11" i="78"/>
  <c r="C14" i="78"/>
  <c r="C8" i="78"/>
  <c r="D11" i="82"/>
  <c r="E6" i="82"/>
  <c r="D8" i="82"/>
  <c r="D11" i="86"/>
  <c r="E9" i="86"/>
  <c r="C10" i="86"/>
  <c r="D10" i="90"/>
  <c r="C10" i="90"/>
  <c r="E9" i="90"/>
  <c r="E8" i="92"/>
  <c r="D8" i="92"/>
  <c r="D12" i="94"/>
  <c r="C6" i="94"/>
  <c r="E7" i="94"/>
  <c r="E8" i="96"/>
  <c r="D8" i="96"/>
  <c r="D12" i="100"/>
  <c r="C6" i="100"/>
  <c r="C7" i="100"/>
  <c r="C10" i="7"/>
  <c r="D10" i="7"/>
  <c r="E8" i="7"/>
  <c r="J13" i="21"/>
  <c r="J14" i="21"/>
  <c r="E8" i="88"/>
  <c r="D11" i="88"/>
  <c r="I13" i="17"/>
  <c r="I10" i="17"/>
  <c r="H7" i="17"/>
  <c r="H11" i="19"/>
  <c r="I8" i="19"/>
  <c r="D7" i="102"/>
  <c r="E6" i="98"/>
  <c r="C13" i="98"/>
  <c r="E8" i="84"/>
  <c r="E9" i="80"/>
  <c r="D11" i="84"/>
  <c r="D8" i="43"/>
  <c r="C11" i="19"/>
  <c r="C6" i="17"/>
  <c r="D12" i="13"/>
  <c r="C6" i="13"/>
  <c r="E7" i="11"/>
  <c r="C8" i="2"/>
  <c r="C9" i="21"/>
  <c r="D9" i="21"/>
  <c r="D6" i="23"/>
  <c r="D10" i="25"/>
  <c r="E9" i="25"/>
  <c r="C8" i="29"/>
  <c r="D6" i="29"/>
  <c r="D11" i="31"/>
  <c r="D8" i="33"/>
  <c r="D7" i="33"/>
  <c r="D11" i="35"/>
  <c r="E7" i="39"/>
  <c r="C14" i="39"/>
  <c r="D10" i="41"/>
  <c r="E8" i="43"/>
  <c r="C14" i="43"/>
  <c r="C9" i="45"/>
  <c r="C10" i="47"/>
  <c r="E6" i="47"/>
  <c r="D10" i="49"/>
  <c r="D7" i="51"/>
  <c r="C14" i="51"/>
  <c r="D10" i="53"/>
  <c r="E7" i="55"/>
  <c r="E6" i="55"/>
  <c r="C10" i="57"/>
  <c r="D7" i="59"/>
  <c r="C7" i="59"/>
  <c r="C10" i="62"/>
  <c r="E7" i="64"/>
  <c r="E6" i="64"/>
  <c r="C9" i="66"/>
  <c r="C13" i="68"/>
  <c r="D12" i="68"/>
  <c r="D9" i="70"/>
  <c r="C10" i="72"/>
  <c r="E8" i="74"/>
  <c r="C8" i="76"/>
  <c r="D11" i="76"/>
  <c r="D8" i="78"/>
  <c r="C14" i="80"/>
  <c r="D9" i="82"/>
  <c r="C14" i="84"/>
  <c r="D7" i="86"/>
  <c r="D6" i="88"/>
  <c r="C14" i="90"/>
  <c r="C10" i="92"/>
  <c r="D12" i="92"/>
  <c r="E8" i="94"/>
  <c r="C6" i="96"/>
  <c r="C10" i="98"/>
  <c r="E8" i="100"/>
  <c r="C14" i="102"/>
  <c r="C14" i="7"/>
  <c r="D7" i="8"/>
  <c r="C11" i="102"/>
  <c r="D10" i="98"/>
  <c r="C8" i="84"/>
  <c r="C7" i="17"/>
  <c r="D6" i="26"/>
  <c r="E7" i="34"/>
  <c r="D7" i="42"/>
  <c r="E6" i="50"/>
  <c r="C7" i="58"/>
  <c r="H14" i="7"/>
  <c r="J12" i="7"/>
  <c r="I14" i="7"/>
  <c r="H11" i="7"/>
  <c r="H10" i="7"/>
  <c r="J14" i="7"/>
  <c r="H9" i="7"/>
  <c r="H13" i="8"/>
  <c r="I13" i="8"/>
  <c r="H14" i="8"/>
  <c r="H9" i="8"/>
  <c r="J13" i="102"/>
  <c r="J14" i="102"/>
  <c r="H7" i="102"/>
  <c r="I7" i="102"/>
  <c r="I10" i="102"/>
  <c r="H12" i="102"/>
  <c r="J10" i="102"/>
  <c r="E19" i="102" s="1"/>
  <c r="I13" i="100"/>
  <c r="J9" i="100"/>
  <c r="I9" i="100"/>
  <c r="E18" i="100" s="1"/>
  <c r="J14" i="100"/>
  <c r="I12" i="100"/>
  <c r="H14" i="100"/>
  <c r="H14" i="98"/>
  <c r="J10" i="98"/>
  <c r="E19" i="98" s="1"/>
  <c r="H8" i="98"/>
  <c r="I11" i="98"/>
  <c r="I14" i="98"/>
  <c r="I10" i="98"/>
  <c r="H14" i="96"/>
  <c r="I13" i="96"/>
  <c r="I8" i="96"/>
  <c r="I11" i="96"/>
  <c r="H11" i="96"/>
  <c r="H10" i="96"/>
  <c r="I13" i="94"/>
  <c r="I14" i="94"/>
  <c r="I8" i="94"/>
  <c r="I7" i="94"/>
  <c r="H12" i="94"/>
  <c r="H11" i="94"/>
  <c r="H10" i="94"/>
  <c r="I13" i="92"/>
  <c r="J9" i="92"/>
  <c r="I9" i="92"/>
  <c r="E18" i="92" s="1"/>
  <c r="I12" i="92"/>
  <c r="I7" i="92"/>
  <c r="H14" i="90"/>
  <c r="I9" i="90"/>
  <c r="E18" i="90" s="1"/>
  <c r="J9" i="90"/>
  <c r="J11" i="90"/>
  <c r="E20" i="90" s="1"/>
  <c r="J10" i="90"/>
  <c r="E19" i="90" s="1"/>
  <c r="H13" i="90"/>
  <c r="J14" i="90"/>
  <c r="H13" i="88"/>
  <c r="J12" i="88"/>
  <c r="J13" i="88"/>
  <c r="I8" i="88"/>
  <c r="H9" i="88"/>
  <c r="J10" i="88"/>
  <c r="E19" i="88" s="1"/>
  <c r="I14" i="86"/>
  <c r="J12" i="86"/>
  <c r="J11" i="86"/>
  <c r="E20" i="86" s="1"/>
  <c r="J10" i="86"/>
  <c r="E19" i="86" s="1"/>
  <c r="H11" i="86"/>
  <c r="H12" i="84"/>
  <c r="J10" i="84"/>
  <c r="E19" i="84" s="1"/>
  <c r="J9" i="82"/>
  <c r="H12" i="82"/>
  <c r="H14" i="78"/>
  <c r="I13" i="78"/>
  <c r="H13" i="72"/>
  <c r="H10" i="72"/>
  <c r="H13" i="62"/>
  <c r="I10" i="62"/>
  <c r="H7" i="57"/>
  <c r="J10" i="57"/>
  <c r="E19" i="57" s="1"/>
  <c r="H12" i="55"/>
  <c r="H9" i="55"/>
  <c r="I7" i="51"/>
  <c r="H9" i="51"/>
  <c r="J11" i="49"/>
  <c r="E20" i="49" s="1"/>
  <c r="J10" i="49"/>
  <c r="E19" i="49" s="1"/>
  <c r="H7" i="45"/>
  <c r="H12" i="45"/>
  <c r="J11" i="41"/>
  <c r="E20" i="41" s="1"/>
  <c r="J10" i="41"/>
  <c r="E19" i="41" s="1"/>
  <c r="H14" i="37"/>
  <c r="I9" i="37"/>
  <c r="E18" i="37" s="1"/>
  <c r="H13" i="31"/>
  <c r="I7" i="31"/>
  <c r="I11" i="27"/>
  <c r="H9" i="27"/>
  <c r="H8" i="21"/>
  <c r="I9" i="21"/>
  <c r="E18" i="21" s="1"/>
  <c r="I7" i="15"/>
  <c r="I10" i="15"/>
  <c r="C14" i="2"/>
  <c r="D6" i="2"/>
  <c r="E7" i="2"/>
  <c r="C9" i="2"/>
  <c r="C10" i="2"/>
  <c r="C12" i="2"/>
  <c r="D8" i="2"/>
  <c r="D11" i="2"/>
  <c r="C6" i="2"/>
  <c r="D7" i="2"/>
  <c r="E8" i="2"/>
  <c r="D10" i="2"/>
  <c r="D12" i="2"/>
  <c r="C12" i="11"/>
  <c r="C6" i="11"/>
  <c r="D7" i="11"/>
  <c r="E8" i="11"/>
  <c r="D10" i="11"/>
  <c r="D12" i="11"/>
  <c r="C14" i="11"/>
  <c r="C8" i="11"/>
  <c r="C11" i="11"/>
  <c r="C7" i="11"/>
  <c r="D8" i="11"/>
  <c r="E9" i="11"/>
  <c r="D11" i="11"/>
  <c r="C14" i="13"/>
  <c r="D6" i="13"/>
  <c r="E7" i="13"/>
  <c r="C9" i="13"/>
  <c r="C10" i="13"/>
  <c r="C12" i="13"/>
  <c r="D8" i="13"/>
  <c r="D11" i="13"/>
  <c r="E6" i="13"/>
  <c r="C8" i="13"/>
  <c r="D9" i="13"/>
  <c r="C11" i="13"/>
  <c r="C13" i="13"/>
  <c r="C14" i="15"/>
  <c r="D6" i="15"/>
  <c r="E7" i="15"/>
  <c r="C9" i="15"/>
  <c r="C10" i="15"/>
  <c r="C12" i="15"/>
  <c r="C7" i="15"/>
  <c r="E9" i="15"/>
  <c r="E6" i="15"/>
  <c r="C8" i="15"/>
  <c r="D9" i="15"/>
  <c r="C11" i="15"/>
  <c r="C13" i="15"/>
  <c r="C13" i="17"/>
  <c r="D6" i="17"/>
  <c r="E7" i="17"/>
  <c r="E8" i="17"/>
  <c r="C11" i="17"/>
  <c r="C14" i="17"/>
  <c r="C8" i="17"/>
  <c r="C10" i="17"/>
  <c r="E6" i="17"/>
  <c r="D8" i="17"/>
  <c r="D10" i="17"/>
  <c r="C12" i="17"/>
  <c r="C14" i="19"/>
  <c r="E6" i="19"/>
  <c r="D8" i="19"/>
  <c r="D10" i="19"/>
  <c r="C12" i="19"/>
  <c r="C6" i="19"/>
  <c r="D9" i="19"/>
  <c r="C13" i="19"/>
  <c r="C7" i="19"/>
  <c r="C8" i="19"/>
  <c r="C9" i="19"/>
  <c r="C10" i="19"/>
  <c r="D12" i="19"/>
  <c r="E9" i="21"/>
  <c r="C14" i="21"/>
  <c r="D12" i="21"/>
  <c r="D10" i="21"/>
  <c r="E8" i="21"/>
  <c r="D7" i="21"/>
  <c r="C6" i="21"/>
  <c r="D11" i="21"/>
  <c r="D8" i="21"/>
  <c r="D6" i="21"/>
  <c r="D10" i="23"/>
  <c r="E6" i="23"/>
  <c r="D11" i="23"/>
  <c r="E9" i="23"/>
  <c r="D8" i="23"/>
  <c r="C7" i="23"/>
  <c r="C14" i="23"/>
  <c r="D12" i="23"/>
  <c r="C8" i="23"/>
  <c r="C6" i="23"/>
  <c r="C11" i="25"/>
  <c r="E8" i="25"/>
  <c r="C12" i="25"/>
  <c r="C10" i="25"/>
  <c r="C9" i="25"/>
  <c r="E7" i="25"/>
  <c r="D6" i="25"/>
  <c r="D12" i="25"/>
  <c r="C8" i="25"/>
  <c r="C6" i="25"/>
  <c r="D6" i="27"/>
  <c r="C10" i="27"/>
  <c r="E7" i="27"/>
  <c r="C14" i="27"/>
  <c r="D12" i="27"/>
  <c r="D10" i="27"/>
  <c r="C8" i="27"/>
  <c r="E8" i="27"/>
  <c r="C6" i="27"/>
  <c r="E9" i="27"/>
  <c r="C7" i="27"/>
  <c r="D11" i="29"/>
  <c r="E9" i="29"/>
  <c r="D8" i="29"/>
  <c r="C7" i="29"/>
  <c r="C14" i="29"/>
  <c r="D12" i="29"/>
  <c r="D10" i="29"/>
  <c r="E8" i="29"/>
  <c r="D7" i="29"/>
  <c r="C6" i="29"/>
  <c r="C13" i="31"/>
  <c r="C11" i="31"/>
  <c r="D9" i="31"/>
  <c r="C8" i="31"/>
  <c r="E6" i="31"/>
  <c r="C12" i="31"/>
  <c r="C10" i="31"/>
  <c r="C9" i="31"/>
  <c r="E7" i="31"/>
  <c r="D6" i="31"/>
  <c r="C13" i="33"/>
  <c r="C11" i="33"/>
  <c r="D9" i="33"/>
  <c r="C8" i="33"/>
  <c r="E6" i="33"/>
  <c r="C12" i="33"/>
  <c r="C10" i="33"/>
  <c r="C9" i="33"/>
  <c r="E7" i="33"/>
  <c r="D6" i="33"/>
  <c r="C13" i="35"/>
  <c r="C11" i="35"/>
  <c r="D9" i="35"/>
  <c r="C8" i="35"/>
  <c r="E6" i="35"/>
  <c r="C12" i="35"/>
  <c r="C10" i="35"/>
  <c r="C9" i="35"/>
  <c r="E7" i="35"/>
  <c r="D6" i="35"/>
  <c r="E8" i="37"/>
  <c r="D7" i="37"/>
  <c r="C6" i="37"/>
  <c r="E7" i="37"/>
  <c r="D6" i="37"/>
  <c r="C13" i="39"/>
  <c r="D11" i="39"/>
  <c r="D9" i="39"/>
  <c r="D7" i="39"/>
  <c r="C6" i="39"/>
  <c r="D12" i="39"/>
  <c r="C10" i="39"/>
  <c r="C9" i="39"/>
  <c r="C8" i="39"/>
  <c r="C7" i="39"/>
  <c r="C12" i="41"/>
  <c r="C10" i="41"/>
  <c r="C9" i="41"/>
  <c r="E7" i="41"/>
  <c r="D6" i="41"/>
  <c r="C13" i="41"/>
  <c r="C11" i="41"/>
  <c r="D9" i="41"/>
  <c r="C8" i="41"/>
  <c r="E6" i="41"/>
  <c r="D6" i="43"/>
  <c r="C9" i="43"/>
  <c r="C10" i="43"/>
  <c r="C12" i="43"/>
  <c r="C13" i="43"/>
  <c r="C11" i="43"/>
  <c r="D9" i="43"/>
  <c r="E6" i="43"/>
  <c r="D7" i="43"/>
  <c r="E9" i="43"/>
  <c r="C7" i="43"/>
  <c r="C14" i="45"/>
  <c r="D12" i="45"/>
  <c r="D10" i="45"/>
  <c r="E8" i="45"/>
  <c r="D7" i="45"/>
  <c r="C6" i="45"/>
  <c r="D11" i="45"/>
  <c r="D8" i="45"/>
  <c r="D6" i="45"/>
  <c r="E9" i="45"/>
  <c r="C14" i="47"/>
  <c r="D12" i="47"/>
  <c r="D10" i="47"/>
  <c r="E8" i="47"/>
  <c r="D7" i="47"/>
  <c r="C6" i="47"/>
  <c r="D11" i="47"/>
  <c r="D8" i="47"/>
  <c r="D6" i="47"/>
  <c r="E9" i="47"/>
  <c r="C12" i="49"/>
  <c r="C10" i="49"/>
  <c r="C9" i="49"/>
  <c r="E7" i="49"/>
  <c r="D6" i="49"/>
  <c r="C13" i="49"/>
  <c r="C11" i="49"/>
  <c r="D9" i="49"/>
  <c r="C8" i="49"/>
  <c r="E6" i="49"/>
  <c r="C12" i="51"/>
  <c r="C10" i="51"/>
  <c r="C9" i="51"/>
  <c r="E7" i="51"/>
  <c r="D6" i="51"/>
  <c r="C13" i="51"/>
  <c r="C11" i="51"/>
  <c r="D9" i="51"/>
  <c r="C8" i="51"/>
  <c r="E6" i="51"/>
  <c r="C7" i="53"/>
  <c r="D11" i="53"/>
  <c r="D8" i="53"/>
  <c r="C12" i="53"/>
  <c r="C13" i="53"/>
  <c r="C11" i="53"/>
  <c r="D9" i="53"/>
  <c r="E6" i="53"/>
  <c r="D7" i="53"/>
  <c r="C10" i="53"/>
  <c r="E7" i="53"/>
  <c r="C14" i="55"/>
  <c r="D12" i="55"/>
  <c r="D10" i="55"/>
  <c r="E8" i="55"/>
  <c r="D7" i="55"/>
  <c r="C6" i="55"/>
  <c r="D11" i="55"/>
  <c r="E9" i="55"/>
  <c r="D8" i="55"/>
  <c r="C7" i="55"/>
  <c r="C14" i="57"/>
  <c r="D12" i="57"/>
  <c r="D10" i="57"/>
  <c r="E8" i="57"/>
  <c r="D7" i="57"/>
  <c r="C6" i="57"/>
  <c r="D11" i="57"/>
  <c r="E9" i="57"/>
  <c r="D8" i="57"/>
  <c r="C7" i="57"/>
  <c r="C14" i="59"/>
  <c r="C11" i="59"/>
  <c r="E9" i="59"/>
  <c r="E8" i="59"/>
  <c r="E7" i="59"/>
  <c r="D6" i="59"/>
  <c r="C12" i="59"/>
  <c r="D10" i="59"/>
  <c r="D8" i="59"/>
  <c r="E6" i="59"/>
  <c r="C14" i="62"/>
  <c r="D12" i="62"/>
  <c r="D10" i="62"/>
  <c r="E8" i="62"/>
  <c r="D7" i="62"/>
  <c r="C6" i="62"/>
  <c r="D11" i="62"/>
  <c r="E9" i="62"/>
  <c r="D8" i="62"/>
  <c r="C7" i="62"/>
  <c r="C14" i="64"/>
  <c r="D12" i="64"/>
  <c r="D10" i="64"/>
  <c r="E8" i="64"/>
  <c r="D7" i="64"/>
  <c r="C6" i="64"/>
  <c r="D11" i="64"/>
  <c r="E9" i="64"/>
  <c r="D8" i="64"/>
  <c r="C7" i="64"/>
  <c r="C13" i="66"/>
  <c r="C11" i="66"/>
  <c r="D9" i="66"/>
  <c r="C8" i="66"/>
  <c r="E6" i="66"/>
  <c r="C14" i="66"/>
  <c r="D11" i="66"/>
  <c r="D8" i="66"/>
  <c r="D6" i="66"/>
  <c r="E9" i="66"/>
  <c r="C14" i="68"/>
  <c r="C11" i="68"/>
  <c r="E9" i="68"/>
  <c r="E8" i="68"/>
  <c r="E7" i="68"/>
  <c r="D6" i="68"/>
  <c r="D10" i="68"/>
  <c r="D8" i="68"/>
  <c r="C6" i="68"/>
  <c r="E6" i="68"/>
  <c r="C14" i="70"/>
  <c r="D12" i="70"/>
  <c r="D10" i="70"/>
  <c r="E8" i="70"/>
  <c r="D7" i="70"/>
  <c r="C6" i="70"/>
  <c r="E9" i="70"/>
  <c r="C12" i="70"/>
  <c r="C9" i="70"/>
  <c r="E7" i="70"/>
  <c r="C12" i="72"/>
  <c r="D10" i="72"/>
  <c r="E8" i="72"/>
  <c r="D7" i="72"/>
  <c r="C6" i="72"/>
  <c r="E9" i="72"/>
  <c r="C14" i="72"/>
  <c r="D12" i="72"/>
  <c r="C9" i="72"/>
  <c r="E7" i="72"/>
  <c r="C12" i="74"/>
  <c r="C10" i="74"/>
  <c r="C9" i="74"/>
  <c r="E7" i="74"/>
  <c r="D6" i="74"/>
  <c r="C13" i="74"/>
  <c r="D9" i="74"/>
  <c r="E6" i="74"/>
  <c r="D10" i="74"/>
  <c r="D7" i="74"/>
  <c r="C12" i="76"/>
  <c r="C10" i="76"/>
  <c r="C9" i="76"/>
  <c r="E7" i="76"/>
  <c r="D6" i="76"/>
  <c r="C13" i="76"/>
  <c r="D9" i="76"/>
  <c r="E6" i="76"/>
  <c r="D10" i="76"/>
  <c r="D7" i="76"/>
  <c r="C12" i="78"/>
  <c r="C10" i="78"/>
  <c r="C9" i="78"/>
  <c r="E7" i="78"/>
  <c r="D6" i="78"/>
  <c r="C13" i="78"/>
  <c r="D9" i="78"/>
  <c r="E6" i="78"/>
  <c r="D10" i="78"/>
  <c r="D7" i="78"/>
  <c r="D6" i="80"/>
  <c r="C9" i="80"/>
  <c r="C12" i="80"/>
  <c r="C13" i="80"/>
  <c r="C11" i="80"/>
  <c r="D9" i="80"/>
  <c r="E6" i="80"/>
  <c r="D7" i="80"/>
  <c r="D11" i="80"/>
  <c r="D8" i="80"/>
  <c r="C12" i="82"/>
  <c r="C10" i="82"/>
  <c r="D10" i="82"/>
  <c r="E8" i="82"/>
  <c r="D7" i="82"/>
  <c r="C6" i="82"/>
  <c r="D12" i="82"/>
  <c r="C7" i="82"/>
  <c r="C9" i="82"/>
  <c r="E7" i="82"/>
  <c r="E6" i="84"/>
  <c r="C12" i="84"/>
  <c r="C13" i="84"/>
  <c r="C11" i="84"/>
  <c r="E9" i="84"/>
  <c r="D8" i="84"/>
  <c r="E7" i="84"/>
  <c r="D7" i="84"/>
  <c r="C12" i="86"/>
  <c r="D10" i="86"/>
  <c r="D8" i="86"/>
  <c r="E6" i="86"/>
  <c r="C14" i="86"/>
  <c r="E8" i="86"/>
  <c r="D6" i="86"/>
  <c r="C9" i="86"/>
  <c r="D12" i="86"/>
  <c r="C8" i="86"/>
  <c r="D12" i="88"/>
  <c r="C10" i="88"/>
  <c r="C9" i="88"/>
  <c r="C8" i="88"/>
  <c r="C7" i="88"/>
  <c r="C13" i="88"/>
  <c r="E6" i="88"/>
  <c r="D9" i="88"/>
  <c r="D10" i="88"/>
  <c r="C6" i="88"/>
  <c r="C11" i="90"/>
  <c r="D9" i="90"/>
  <c r="D7" i="90"/>
  <c r="C6" i="90"/>
  <c r="D11" i="90"/>
  <c r="C9" i="90"/>
  <c r="C7" i="90"/>
  <c r="E8" i="90"/>
  <c r="D12" i="90"/>
  <c r="E7" i="90"/>
  <c r="C13" i="92"/>
  <c r="C11" i="92"/>
  <c r="D9" i="92"/>
  <c r="C8" i="92"/>
  <c r="E6" i="92"/>
  <c r="C12" i="92"/>
  <c r="C9" i="92"/>
  <c r="E7" i="92"/>
  <c r="E9" i="92"/>
  <c r="C7" i="92"/>
  <c r="C13" i="94"/>
  <c r="C11" i="94"/>
  <c r="D9" i="94"/>
  <c r="C8" i="94"/>
  <c r="E6" i="94"/>
  <c r="C10" i="94"/>
  <c r="C7" i="94"/>
  <c r="D11" i="94"/>
  <c r="D8" i="94"/>
  <c r="D6" i="94"/>
  <c r="C13" i="96"/>
  <c r="C11" i="96"/>
  <c r="D9" i="96"/>
  <c r="C8" i="96"/>
  <c r="E6" i="96"/>
  <c r="C12" i="96"/>
  <c r="C9" i="96"/>
  <c r="E7" i="96"/>
  <c r="C10" i="96"/>
  <c r="C7" i="96"/>
  <c r="C6" i="98"/>
  <c r="D12" i="98"/>
  <c r="E8" i="98"/>
  <c r="C12" i="98"/>
  <c r="C9" i="98"/>
  <c r="C7" i="98"/>
  <c r="D6" i="98"/>
  <c r="E7" i="98"/>
  <c r="C13" i="100"/>
  <c r="C11" i="100"/>
  <c r="D9" i="100"/>
  <c r="C8" i="100"/>
  <c r="E6" i="100"/>
  <c r="C12" i="100"/>
  <c r="C9" i="100"/>
  <c r="E7" i="100"/>
  <c r="C10" i="100"/>
  <c r="E9" i="100"/>
  <c r="E6" i="102"/>
  <c r="C13" i="102"/>
  <c r="D9" i="102"/>
  <c r="C9" i="102"/>
  <c r="E7" i="102"/>
  <c r="C12" i="102"/>
  <c r="C7" i="102"/>
  <c r="E9" i="102"/>
  <c r="C6" i="8"/>
  <c r="D12" i="8"/>
  <c r="E8" i="8"/>
  <c r="C12" i="8"/>
  <c r="C10" i="8"/>
  <c r="D8" i="8"/>
  <c r="E7" i="8"/>
  <c r="D6" i="8"/>
  <c r="D11" i="7"/>
  <c r="E9" i="7"/>
  <c r="D8" i="7"/>
  <c r="C7" i="7"/>
  <c r="C11" i="7"/>
  <c r="C8" i="7"/>
  <c r="C6" i="7"/>
  <c r="D12" i="7"/>
  <c r="C13" i="7"/>
  <c r="E6" i="7"/>
  <c r="C13" i="81"/>
  <c r="D9" i="81"/>
  <c r="D7" i="81"/>
  <c r="C12" i="81"/>
  <c r="D11" i="81"/>
  <c r="C14" i="81"/>
  <c r="D8" i="81"/>
  <c r="E6" i="81"/>
  <c r="D10" i="81"/>
  <c r="C11" i="81"/>
  <c r="E8" i="81"/>
  <c r="D6" i="81"/>
  <c r="D12" i="81"/>
  <c r="C9" i="81"/>
  <c r="C7" i="81"/>
  <c r="I10" i="65"/>
  <c r="I9" i="65"/>
  <c r="E18" i="65" s="1"/>
  <c r="H8" i="63"/>
  <c r="H11" i="63"/>
  <c r="I8" i="61"/>
  <c r="I14" i="61"/>
  <c r="I8" i="54"/>
  <c r="I14" i="54"/>
  <c r="H14" i="48"/>
  <c r="I14" i="48"/>
  <c r="H8" i="42"/>
  <c r="J13" i="42"/>
  <c r="H10" i="16"/>
  <c r="I12" i="16"/>
  <c r="I14" i="3"/>
  <c r="H13" i="3"/>
  <c r="I11" i="3"/>
  <c r="H12" i="3"/>
  <c r="H14" i="3"/>
  <c r="C13" i="3"/>
  <c r="C7" i="3"/>
  <c r="C8" i="3"/>
  <c r="C9" i="3"/>
  <c r="C10" i="3"/>
  <c r="C11" i="3"/>
  <c r="D12" i="3"/>
  <c r="E7" i="3"/>
  <c r="E9" i="3"/>
  <c r="C14" i="3"/>
  <c r="C6" i="3"/>
  <c r="D7" i="3"/>
  <c r="D8" i="3"/>
  <c r="D9" i="3"/>
  <c r="D10" i="3"/>
  <c r="D11" i="3"/>
  <c r="C12" i="10"/>
  <c r="E6" i="10"/>
  <c r="C8" i="10"/>
  <c r="D9" i="10"/>
  <c r="C11" i="10"/>
  <c r="C13" i="10"/>
  <c r="D7" i="10"/>
  <c r="D10" i="10"/>
  <c r="C14" i="10"/>
  <c r="C7" i="10"/>
  <c r="D8" i="10"/>
  <c r="E9" i="10"/>
  <c r="D11" i="10"/>
  <c r="C14" i="12"/>
  <c r="E6" i="12"/>
  <c r="D8" i="12"/>
  <c r="D10" i="12"/>
  <c r="C12" i="12"/>
  <c r="C6" i="12"/>
  <c r="D9" i="12"/>
  <c r="C13" i="12"/>
  <c r="C7" i="12"/>
  <c r="C8" i="12"/>
  <c r="C9" i="12"/>
  <c r="C10" i="12"/>
  <c r="D12" i="12"/>
  <c r="C14" i="14"/>
  <c r="C7" i="14"/>
  <c r="D8" i="14"/>
  <c r="E9" i="14"/>
  <c r="D11" i="14"/>
  <c r="E7" i="14"/>
  <c r="C10" i="14"/>
  <c r="E6" i="14"/>
  <c r="C8" i="14"/>
  <c r="D9" i="14"/>
  <c r="C11" i="14"/>
  <c r="C13" i="14"/>
  <c r="C14" i="16"/>
  <c r="C7" i="16"/>
  <c r="D8" i="16"/>
  <c r="E9" i="16"/>
  <c r="D11" i="16"/>
  <c r="D6" i="16"/>
  <c r="C9" i="16"/>
  <c r="C12" i="16"/>
  <c r="E6" i="16"/>
  <c r="C8" i="16"/>
  <c r="D9" i="16"/>
  <c r="C11" i="16"/>
  <c r="C13" i="16"/>
  <c r="D12" i="22"/>
  <c r="C10" i="22"/>
  <c r="C8" i="22"/>
  <c r="C13" i="22"/>
  <c r="D11" i="22"/>
  <c r="D9" i="22"/>
  <c r="D7" i="22"/>
  <c r="C6" i="22"/>
  <c r="E9" i="22"/>
  <c r="E7" i="22"/>
  <c r="C9" i="22"/>
  <c r="C12" i="22"/>
  <c r="D8" i="22"/>
  <c r="C14" i="22"/>
  <c r="D6" i="22"/>
  <c r="C11" i="24"/>
  <c r="C8" i="24"/>
  <c r="C12" i="24"/>
  <c r="C10" i="24"/>
  <c r="C9" i="24"/>
  <c r="E7" i="24"/>
  <c r="D6" i="24"/>
  <c r="C13" i="24"/>
  <c r="D9" i="24"/>
  <c r="E6" i="24"/>
  <c r="D7" i="24"/>
  <c r="E9" i="24"/>
  <c r="C7" i="24"/>
  <c r="D12" i="24"/>
  <c r="C6" i="24"/>
  <c r="C13" i="26"/>
  <c r="D11" i="26"/>
  <c r="D9" i="26"/>
  <c r="D7" i="26"/>
  <c r="D12" i="26"/>
  <c r="C10" i="26"/>
  <c r="C9" i="26"/>
  <c r="C8" i="26"/>
  <c r="C7" i="26"/>
  <c r="E6" i="26"/>
  <c r="D10" i="26"/>
  <c r="C14" i="26"/>
  <c r="E9" i="26"/>
  <c r="E7" i="26"/>
  <c r="C6" i="26"/>
  <c r="C12" i="28"/>
  <c r="C10" i="28"/>
  <c r="C9" i="28"/>
  <c r="E7" i="28"/>
  <c r="D6" i="28"/>
  <c r="C13" i="28"/>
  <c r="C11" i="28"/>
  <c r="D9" i="28"/>
  <c r="C8" i="28"/>
  <c r="E6" i="28"/>
  <c r="E9" i="28"/>
  <c r="C7" i="28"/>
  <c r="D12" i="28"/>
  <c r="E8" i="28"/>
  <c r="C6" i="28"/>
  <c r="C14" i="30"/>
  <c r="C11" i="30"/>
  <c r="E9" i="30"/>
  <c r="E8" i="30"/>
  <c r="E7" i="30"/>
  <c r="D6" i="30"/>
  <c r="C12" i="30"/>
  <c r="D10" i="30"/>
  <c r="D8" i="30"/>
  <c r="E6" i="30"/>
  <c r="C10" i="30"/>
  <c r="C8" i="30"/>
  <c r="C13" i="30"/>
  <c r="D9" i="30"/>
  <c r="C6" i="30"/>
  <c r="C14" i="32"/>
  <c r="D12" i="32"/>
  <c r="D10" i="32"/>
  <c r="E8" i="32"/>
  <c r="D7" i="32"/>
  <c r="C6" i="32"/>
  <c r="D11" i="32"/>
  <c r="E9" i="32"/>
  <c r="D8" i="32"/>
  <c r="C7" i="32"/>
  <c r="C11" i="32"/>
  <c r="C8" i="32"/>
  <c r="C12" i="32"/>
  <c r="C9" i="32"/>
  <c r="D6" i="32"/>
  <c r="C14" i="34"/>
  <c r="D12" i="34"/>
  <c r="D10" i="34"/>
  <c r="E8" i="34"/>
  <c r="D7" i="34"/>
  <c r="C6" i="34"/>
  <c r="D11" i="34"/>
  <c r="E9" i="34"/>
  <c r="D8" i="34"/>
  <c r="C7" i="34"/>
  <c r="C11" i="34"/>
  <c r="C8" i="34"/>
  <c r="C12" i="34"/>
  <c r="C9" i="34"/>
  <c r="D6" i="34"/>
  <c r="C14" i="36"/>
  <c r="D12" i="36"/>
  <c r="D10" i="36"/>
  <c r="E8" i="36"/>
  <c r="D7" i="36"/>
  <c r="C6" i="36"/>
  <c r="D11" i="36"/>
  <c r="E9" i="36"/>
  <c r="D8" i="36"/>
  <c r="C7" i="36"/>
  <c r="C11" i="36"/>
  <c r="C8" i="36"/>
  <c r="C12" i="36"/>
  <c r="C9" i="36"/>
  <c r="D6" i="36"/>
  <c r="C14" i="38"/>
  <c r="D12" i="38"/>
  <c r="D10" i="38"/>
  <c r="E8" i="38"/>
  <c r="D7" i="38"/>
  <c r="C6" i="38"/>
  <c r="D11" i="38"/>
  <c r="E9" i="38"/>
  <c r="D8" i="38"/>
  <c r="C7" i="38"/>
  <c r="C11" i="38"/>
  <c r="C8" i="38"/>
  <c r="C12" i="38"/>
  <c r="C9" i="38"/>
  <c r="D6" i="38"/>
  <c r="C12" i="40"/>
  <c r="C10" i="40"/>
  <c r="C9" i="40"/>
  <c r="E7" i="40"/>
  <c r="D6" i="40"/>
  <c r="C13" i="40"/>
  <c r="C11" i="40"/>
  <c r="D9" i="40"/>
  <c r="C8" i="40"/>
  <c r="E6" i="40"/>
  <c r="E9" i="40"/>
  <c r="C7" i="40"/>
  <c r="D12" i="40"/>
  <c r="E8" i="40"/>
  <c r="C6" i="40"/>
  <c r="C12" i="42"/>
  <c r="C10" i="42"/>
  <c r="C9" i="42"/>
  <c r="E7" i="42"/>
  <c r="D6" i="42"/>
  <c r="C13" i="42"/>
  <c r="C11" i="42"/>
  <c r="D9" i="42"/>
  <c r="C8" i="42"/>
  <c r="E6" i="42"/>
  <c r="E9" i="42"/>
  <c r="C7" i="42"/>
  <c r="D12" i="42"/>
  <c r="E8" i="42"/>
  <c r="C6" i="42"/>
  <c r="C14" i="44"/>
  <c r="D12" i="44"/>
  <c r="D10" i="44"/>
  <c r="E8" i="44"/>
  <c r="D7" i="44"/>
  <c r="C6" i="44"/>
  <c r="E9" i="44"/>
  <c r="C12" i="44"/>
  <c r="C9" i="44"/>
  <c r="E7" i="44"/>
  <c r="C11" i="44"/>
  <c r="C8" i="44"/>
  <c r="C10" i="44"/>
  <c r="D11" i="44"/>
  <c r="D6" i="44"/>
  <c r="C14" i="46"/>
  <c r="D12" i="46"/>
  <c r="D10" i="46"/>
  <c r="E8" i="46"/>
  <c r="D7" i="46"/>
  <c r="C6" i="46"/>
  <c r="E9" i="46"/>
  <c r="C12" i="46"/>
  <c r="C9" i="46"/>
  <c r="E7" i="46"/>
  <c r="C11" i="46"/>
  <c r="C8" i="46"/>
  <c r="C10" i="46"/>
  <c r="D11" i="46"/>
  <c r="D6" i="46"/>
  <c r="E8" i="48"/>
  <c r="C6" i="48"/>
  <c r="E7" i="48"/>
  <c r="C8" i="48"/>
  <c r="E6" i="48"/>
  <c r="D6" i="48"/>
  <c r="C7" i="48"/>
  <c r="D11" i="50"/>
  <c r="E9" i="50"/>
  <c r="D8" i="50"/>
  <c r="C7" i="50"/>
  <c r="C14" i="50"/>
  <c r="D12" i="50"/>
  <c r="D10" i="50"/>
  <c r="E8" i="50"/>
  <c r="D7" i="50"/>
  <c r="C6" i="50"/>
  <c r="C12" i="50"/>
  <c r="C9" i="50"/>
  <c r="D6" i="50"/>
  <c r="C11" i="50"/>
  <c r="C8" i="50"/>
  <c r="D11" i="52"/>
  <c r="E9" i="52"/>
  <c r="D8" i="52"/>
  <c r="C7" i="52"/>
  <c r="C14" i="52"/>
  <c r="D12" i="52"/>
  <c r="D10" i="52"/>
  <c r="E8" i="52"/>
  <c r="D7" i="52"/>
  <c r="C6" i="52"/>
  <c r="C12" i="52"/>
  <c r="C9" i="52"/>
  <c r="D6" i="52"/>
  <c r="C11" i="52"/>
  <c r="C8" i="52"/>
  <c r="C13" i="54"/>
  <c r="C11" i="54"/>
  <c r="D9" i="54"/>
  <c r="C8" i="54"/>
  <c r="E6" i="54"/>
  <c r="C12" i="54"/>
  <c r="C10" i="54"/>
  <c r="C9" i="54"/>
  <c r="E7" i="54"/>
  <c r="D6" i="54"/>
  <c r="C14" i="54"/>
  <c r="D10" i="54"/>
  <c r="D7" i="54"/>
  <c r="D11" i="54"/>
  <c r="D8" i="54"/>
  <c r="C13" i="56"/>
  <c r="C11" i="56"/>
  <c r="D9" i="56"/>
  <c r="C8" i="56"/>
  <c r="E6" i="56"/>
  <c r="C12" i="56"/>
  <c r="C10" i="56"/>
  <c r="C9" i="56"/>
  <c r="E7" i="56"/>
  <c r="D6" i="56"/>
  <c r="C14" i="56"/>
  <c r="D10" i="56"/>
  <c r="D7" i="56"/>
  <c r="D11" i="56"/>
  <c r="D8" i="56"/>
  <c r="C12" i="58"/>
  <c r="D10" i="58"/>
  <c r="D8" i="58"/>
  <c r="E6" i="58"/>
  <c r="C14" i="58"/>
  <c r="C11" i="58"/>
  <c r="E9" i="58"/>
  <c r="E8" i="58"/>
  <c r="E7" i="58"/>
  <c r="D6" i="58"/>
  <c r="C13" i="58"/>
  <c r="D9" i="58"/>
  <c r="C6" i="58"/>
  <c r="C10" i="58"/>
  <c r="C8" i="58"/>
  <c r="C13" i="61"/>
  <c r="C11" i="61"/>
  <c r="D9" i="61"/>
  <c r="C8" i="61"/>
  <c r="E6" i="61"/>
  <c r="C12" i="61"/>
  <c r="C10" i="61"/>
  <c r="C9" i="61"/>
  <c r="E7" i="61"/>
  <c r="D6" i="61"/>
  <c r="C14" i="61"/>
  <c r="D10" i="61"/>
  <c r="D7" i="61"/>
  <c r="D11" i="61"/>
  <c r="D8" i="61"/>
  <c r="C13" i="63"/>
  <c r="C11" i="63"/>
  <c r="D9" i="63"/>
  <c r="C8" i="63"/>
  <c r="E6" i="63"/>
  <c r="C12" i="63"/>
  <c r="D12" i="63"/>
  <c r="E8" i="63"/>
  <c r="C6" i="63"/>
  <c r="C10" i="63"/>
  <c r="C9" i="63"/>
  <c r="E7" i="63"/>
  <c r="D6" i="63"/>
  <c r="D10" i="63"/>
  <c r="D11" i="63"/>
  <c r="D8" i="63"/>
  <c r="C13" i="65"/>
  <c r="D9" i="65"/>
  <c r="D7" i="65"/>
  <c r="D11" i="65"/>
  <c r="E6" i="65"/>
  <c r="C14" i="65"/>
  <c r="D8" i="65"/>
  <c r="C12" i="65"/>
  <c r="C6" i="65"/>
  <c r="C10" i="65"/>
  <c r="C8" i="65"/>
  <c r="C11" i="65"/>
  <c r="E8" i="65"/>
  <c r="D6" i="65"/>
  <c r="D11" i="67"/>
  <c r="E9" i="67"/>
  <c r="D8" i="67"/>
  <c r="C7" i="67"/>
  <c r="C14" i="67"/>
  <c r="D12" i="67"/>
  <c r="E8" i="67"/>
  <c r="D10" i="67"/>
  <c r="C11" i="67"/>
  <c r="C6" i="67"/>
  <c r="C12" i="67"/>
  <c r="C9" i="67"/>
  <c r="D6" i="67"/>
  <c r="D9" i="67"/>
  <c r="D7" i="67"/>
  <c r="C10" i="67"/>
  <c r="C13" i="67"/>
  <c r="C8" i="67"/>
  <c r="C13" i="69"/>
  <c r="C11" i="69"/>
  <c r="D9" i="69"/>
  <c r="C8" i="69"/>
  <c r="E6" i="69"/>
  <c r="C12" i="69"/>
  <c r="C9" i="69"/>
  <c r="E7" i="69"/>
  <c r="E9" i="69"/>
  <c r="D6" i="69"/>
  <c r="C14" i="69"/>
  <c r="D10" i="69"/>
  <c r="D7" i="69"/>
  <c r="D11" i="69"/>
  <c r="C10" i="69"/>
  <c r="E8" i="69"/>
  <c r="D8" i="69"/>
  <c r="C13" i="71"/>
  <c r="C11" i="71"/>
  <c r="D9" i="71"/>
  <c r="C8" i="71"/>
  <c r="E6" i="71"/>
  <c r="C12" i="71"/>
  <c r="C9" i="71"/>
  <c r="E7" i="71"/>
  <c r="C10" i="71"/>
  <c r="C7" i="71"/>
  <c r="C14" i="71"/>
  <c r="D10" i="71"/>
  <c r="D7" i="71"/>
  <c r="D11" i="71"/>
  <c r="D6" i="71"/>
  <c r="D12" i="71"/>
  <c r="C6" i="71"/>
  <c r="E9" i="71"/>
  <c r="D11" i="75"/>
  <c r="E9" i="75"/>
  <c r="D8" i="75"/>
  <c r="C7" i="75"/>
  <c r="C11" i="75"/>
  <c r="C8" i="75"/>
  <c r="C6" i="75"/>
  <c r="C13" i="75"/>
  <c r="D9" i="75"/>
  <c r="E6" i="75"/>
  <c r="C12" i="75"/>
  <c r="C9" i="75"/>
  <c r="D6" i="75"/>
  <c r="D7" i="75"/>
  <c r="D12" i="75"/>
  <c r="C10" i="75"/>
  <c r="D10" i="75"/>
  <c r="E8" i="75"/>
  <c r="C12" i="77"/>
  <c r="E6" i="77"/>
  <c r="D10" i="77"/>
  <c r="C6" i="77"/>
  <c r="D7" i="77"/>
  <c r="D11" i="77"/>
  <c r="D8" i="77"/>
  <c r="C13" i="77"/>
  <c r="C11" i="77"/>
  <c r="E8" i="77"/>
  <c r="D6" i="77"/>
  <c r="C10" i="77"/>
  <c r="C8" i="77"/>
  <c r="D11" i="79"/>
  <c r="E9" i="79"/>
  <c r="D8" i="79"/>
  <c r="C7" i="79"/>
  <c r="C11" i="79"/>
  <c r="C8" i="79"/>
  <c r="C6" i="79"/>
  <c r="C13" i="79"/>
  <c r="D9" i="79"/>
  <c r="E6" i="79"/>
  <c r="C10" i="79"/>
  <c r="E7" i="79"/>
  <c r="D10" i="79"/>
  <c r="C14" i="79"/>
  <c r="E8" i="79"/>
  <c r="C12" i="79"/>
  <c r="D6" i="79"/>
  <c r="D12" i="79"/>
  <c r="H10" i="81"/>
  <c r="H11" i="81"/>
  <c r="C14" i="83"/>
  <c r="D12" i="83"/>
  <c r="D10" i="83"/>
  <c r="C8" i="83"/>
  <c r="E8" i="83"/>
  <c r="C6" i="83"/>
  <c r="C12" i="83"/>
  <c r="C11" i="83"/>
  <c r="E6" i="83"/>
  <c r="D9" i="83"/>
  <c r="C9" i="83"/>
  <c r="D6" i="83"/>
  <c r="E9" i="83"/>
  <c r="C7" i="83"/>
  <c r="C14" i="85"/>
  <c r="D12" i="85"/>
  <c r="D10" i="85"/>
  <c r="C8" i="85"/>
  <c r="C6" i="85"/>
  <c r="D7" i="85"/>
  <c r="C12" i="85"/>
  <c r="C11" i="85"/>
  <c r="E6" i="85"/>
  <c r="C13" i="85"/>
  <c r="E8" i="85"/>
  <c r="C10" i="85"/>
  <c r="E7" i="85"/>
  <c r="D11" i="85"/>
  <c r="D8" i="85"/>
  <c r="C9" i="87"/>
  <c r="D6" i="87"/>
  <c r="D11" i="87"/>
  <c r="E9" i="87"/>
  <c r="C7" i="87"/>
  <c r="E7" i="87"/>
  <c r="C10" i="87"/>
  <c r="C12" i="87"/>
  <c r="C13" i="87"/>
  <c r="D9" i="87"/>
  <c r="E6" i="87"/>
  <c r="D12" i="87"/>
  <c r="E8" i="87"/>
  <c r="C6" i="87"/>
  <c r="C13" i="89"/>
  <c r="C11" i="89"/>
  <c r="D9" i="89"/>
  <c r="C8" i="89"/>
  <c r="E6" i="89"/>
  <c r="C12" i="89"/>
  <c r="C9" i="89"/>
  <c r="E7" i="89"/>
  <c r="C10" i="89"/>
  <c r="E9" i="89"/>
  <c r="D12" i="89"/>
  <c r="E8" i="89"/>
  <c r="C6" i="89"/>
  <c r="D8" i="89"/>
  <c r="C7" i="89"/>
  <c r="C14" i="89"/>
  <c r="D7" i="89"/>
  <c r="D6" i="89"/>
  <c r="C12" i="91"/>
  <c r="C9" i="91"/>
  <c r="E7" i="91"/>
  <c r="E9" i="91"/>
  <c r="C7" i="91"/>
  <c r="C14" i="91"/>
  <c r="D8" i="91"/>
  <c r="D11" i="91"/>
  <c r="C10" i="91"/>
  <c r="C11" i="91"/>
  <c r="C8" i="91"/>
  <c r="D10" i="91"/>
  <c r="D7" i="91"/>
  <c r="C13" i="95"/>
  <c r="C12" i="95"/>
  <c r="D10" i="95"/>
  <c r="D8" i="95"/>
  <c r="E6" i="95"/>
  <c r="E9" i="95"/>
  <c r="D11" i="95"/>
  <c r="D7" i="95"/>
  <c r="E8" i="95"/>
  <c r="D6" i="95"/>
  <c r="C11" i="95"/>
  <c r="C9" i="95"/>
  <c r="C7" i="95"/>
  <c r="D9" i="95"/>
  <c r="E7" i="95"/>
  <c r="C10" i="95"/>
  <c r="C6" i="95"/>
  <c r="C8" i="95"/>
  <c r="C13" i="97"/>
  <c r="C11" i="97"/>
  <c r="E9" i="97"/>
  <c r="C7" i="97"/>
  <c r="E7" i="97"/>
  <c r="C8" i="97"/>
  <c r="C10" i="97"/>
  <c r="C9" i="97"/>
  <c r="D6" i="97"/>
  <c r="C14" i="97"/>
  <c r="D12" i="97"/>
  <c r="E8" i="97"/>
  <c r="C12" i="97"/>
  <c r="D8" i="97"/>
  <c r="C12" i="101"/>
  <c r="E8" i="101"/>
  <c r="D7" i="101"/>
  <c r="C6" i="101"/>
  <c r="D11" i="101"/>
  <c r="D8" i="101"/>
  <c r="C14" i="101"/>
  <c r="D10" i="101"/>
  <c r="C10" i="101"/>
  <c r="E7" i="101"/>
  <c r="C10" i="6"/>
  <c r="D8" i="6"/>
  <c r="C12" i="6"/>
  <c r="C14" i="6"/>
  <c r="E7" i="6"/>
  <c r="D6" i="6"/>
  <c r="D10" i="6"/>
  <c r="D7" i="6"/>
  <c r="E9" i="6"/>
  <c r="D11" i="73"/>
  <c r="E9" i="73"/>
  <c r="D8" i="73"/>
  <c r="C7" i="73"/>
  <c r="C11" i="73"/>
  <c r="C8" i="73"/>
  <c r="C6" i="73"/>
  <c r="C13" i="73"/>
  <c r="D9" i="73"/>
  <c r="E6" i="73"/>
  <c r="C12" i="73"/>
  <c r="C9" i="73"/>
  <c r="D6" i="73"/>
  <c r="D7" i="73"/>
  <c r="D12" i="73"/>
  <c r="E7" i="73"/>
  <c r="C14" i="73"/>
  <c r="C13" i="93"/>
  <c r="C11" i="93"/>
  <c r="D9" i="93"/>
  <c r="C8" i="93"/>
  <c r="E6" i="93"/>
  <c r="C12" i="93"/>
  <c r="C9" i="93"/>
  <c r="E7" i="93"/>
  <c r="C10" i="93"/>
  <c r="C7" i="93"/>
  <c r="C14" i="93"/>
  <c r="D10" i="93"/>
  <c r="D7" i="93"/>
  <c r="D11" i="93"/>
  <c r="D6" i="93"/>
  <c r="E8" i="93"/>
  <c r="D8" i="93"/>
  <c r="C12" i="99"/>
  <c r="D10" i="99"/>
  <c r="D8" i="99"/>
  <c r="E6" i="99"/>
  <c r="C14" i="99"/>
  <c r="E9" i="99"/>
  <c r="E7" i="99"/>
  <c r="C13" i="99"/>
  <c r="C8" i="99"/>
  <c r="C9" i="99"/>
  <c r="D9" i="99"/>
  <c r="C6" i="99"/>
  <c r="E8" i="99"/>
  <c r="C10" i="99"/>
  <c r="C7" i="99"/>
  <c r="D7" i="99"/>
  <c r="D6" i="99"/>
  <c r="D12" i="99"/>
  <c r="C14" i="103"/>
  <c r="C10" i="103"/>
  <c r="E7" i="103"/>
  <c r="D11" i="103"/>
  <c r="C7" i="103"/>
  <c r="C12" i="103"/>
  <c r="D6" i="103"/>
  <c r="E9" i="103"/>
  <c r="C9" i="103"/>
  <c r="D8" i="103"/>
  <c r="C13" i="103"/>
  <c r="D9" i="103"/>
  <c r="E6" i="103"/>
  <c r="I8" i="1"/>
  <c r="H11" i="1"/>
  <c r="I12" i="3"/>
  <c r="H11" i="3"/>
  <c r="J9" i="3"/>
  <c r="I8" i="3"/>
  <c r="I13" i="12"/>
  <c r="J11" i="12"/>
  <c r="E20" i="12" s="1"/>
  <c r="I10" i="12"/>
  <c r="H9" i="12"/>
  <c r="H7" i="12"/>
  <c r="I12" i="17"/>
  <c r="H11" i="17"/>
  <c r="J9" i="17"/>
  <c r="I13" i="19"/>
  <c r="J11" i="19"/>
  <c r="E20" i="19" s="1"/>
  <c r="I10" i="19"/>
  <c r="H9" i="19"/>
  <c r="H7" i="19"/>
  <c r="D11" i="6"/>
  <c r="C8" i="8"/>
  <c r="C11" i="8"/>
  <c r="E6" i="6"/>
  <c r="D9" i="6"/>
  <c r="C13" i="6"/>
  <c r="D7" i="103"/>
  <c r="D10" i="103"/>
  <c r="C6" i="102"/>
  <c r="E8" i="102"/>
  <c r="D12" i="102"/>
  <c r="D9" i="101"/>
  <c r="C13" i="101"/>
  <c r="C8" i="98"/>
  <c r="C11" i="98"/>
  <c r="C6" i="97"/>
  <c r="D9" i="97"/>
  <c r="D12" i="96"/>
  <c r="E8" i="91"/>
  <c r="D7" i="87"/>
  <c r="C6" i="84"/>
  <c r="C8" i="81"/>
  <c r="C7" i="80"/>
  <c r="C7" i="77"/>
  <c r="D12" i="77"/>
  <c r="E9" i="65"/>
  <c r="C9" i="53"/>
  <c r="C9" i="101"/>
  <c r="E9" i="85"/>
  <c r="D8" i="83"/>
  <c r="D8" i="48"/>
  <c r="D11" i="43"/>
  <c r="D11" i="27"/>
  <c r="E9" i="19"/>
  <c r="E7" i="19"/>
  <c r="D11" i="17"/>
  <c r="D7" i="17"/>
  <c r="D12" i="16"/>
  <c r="E8" i="16"/>
  <c r="C6" i="16"/>
  <c r="D10" i="15"/>
  <c r="D7" i="15"/>
  <c r="D12" i="14"/>
  <c r="E8" i="14"/>
  <c r="C6" i="14"/>
  <c r="D10" i="13"/>
  <c r="D7" i="13"/>
  <c r="C11" i="12"/>
  <c r="E8" i="12"/>
  <c r="D6" i="12"/>
  <c r="C9" i="11"/>
  <c r="D6" i="11"/>
  <c r="C9" i="10"/>
  <c r="D6" i="10"/>
  <c r="C12" i="3"/>
  <c r="I9" i="3"/>
  <c r="E18" i="3" s="1"/>
  <c r="I7" i="3"/>
  <c r="C13" i="2"/>
  <c r="D9" i="2"/>
  <c r="E6" i="2"/>
  <c r="E7" i="21"/>
  <c r="C12" i="21"/>
  <c r="C8" i="21"/>
  <c r="C11" i="21"/>
  <c r="C7" i="21"/>
  <c r="D7" i="23"/>
  <c r="C13" i="23"/>
  <c r="E7" i="23"/>
  <c r="C10" i="23"/>
  <c r="E8" i="23"/>
  <c r="D7" i="25"/>
  <c r="C14" i="25"/>
  <c r="D8" i="25"/>
  <c r="D11" i="25"/>
  <c r="D9" i="25"/>
  <c r="D7" i="27"/>
  <c r="D9" i="27"/>
  <c r="C13" i="27"/>
  <c r="E6" i="29"/>
  <c r="D9" i="29"/>
  <c r="C13" i="29"/>
  <c r="E7" i="29"/>
  <c r="C10" i="29"/>
  <c r="C7" i="31"/>
  <c r="E9" i="31"/>
  <c r="C6" i="31"/>
  <c r="E8" i="31"/>
  <c r="D12" i="31"/>
  <c r="C7" i="33"/>
  <c r="E9" i="33"/>
  <c r="C6" i="33"/>
  <c r="E8" i="33"/>
  <c r="D12" i="33"/>
  <c r="C7" i="35"/>
  <c r="E9" i="35"/>
  <c r="C6" i="35"/>
  <c r="E8" i="35"/>
  <c r="D12" i="35"/>
  <c r="C7" i="37"/>
  <c r="E6" i="37"/>
  <c r="D6" i="39"/>
  <c r="E8" i="39"/>
  <c r="C11" i="39"/>
  <c r="E6" i="39"/>
  <c r="D10" i="39"/>
  <c r="C6" i="41"/>
  <c r="E8" i="41"/>
  <c r="D12" i="41"/>
  <c r="C7" i="41"/>
  <c r="E9" i="41"/>
  <c r="C6" i="43"/>
  <c r="C8" i="43"/>
  <c r="D12" i="43"/>
  <c r="C7" i="45"/>
  <c r="E7" i="45"/>
  <c r="C12" i="45"/>
  <c r="C8" i="45"/>
  <c r="C11" i="45"/>
  <c r="C7" i="47"/>
  <c r="E7" i="47"/>
  <c r="C12" i="47"/>
  <c r="C8" i="47"/>
  <c r="C11" i="47"/>
  <c r="C6" i="49"/>
  <c r="E8" i="49"/>
  <c r="D12" i="49"/>
  <c r="C7" i="49"/>
  <c r="E9" i="49"/>
  <c r="C6" i="51"/>
  <c r="E8" i="51"/>
  <c r="D12" i="51"/>
  <c r="C7" i="51"/>
  <c r="E9" i="51"/>
  <c r="C6" i="53"/>
  <c r="C8" i="53"/>
  <c r="D12" i="53"/>
  <c r="D6" i="55"/>
  <c r="C9" i="55"/>
  <c r="C12" i="55"/>
  <c r="C8" i="55"/>
  <c r="C11" i="55"/>
  <c r="D6" i="57"/>
  <c r="C9" i="57"/>
  <c r="C12" i="57"/>
  <c r="C8" i="57"/>
  <c r="C11" i="57"/>
  <c r="C6" i="59"/>
  <c r="D9" i="59"/>
  <c r="C13" i="59"/>
  <c r="C8" i="59"/>
  <c r="C10" i="59"/>
  <c r="D6" i="62"/>
  <c r="C9" i="62"/>
  <c r="C12" i="62"/>
  <c r="C8" i="62"/>
  <c r="C11" i="62"/>
  <c r="D6" i="64"/>
  <c r="C9" i="64"/>
  <c r="C12" i="64"/>
  <c r="C8" i="64"/>
  <c r="C11" i="64"/>
  <c r="C7" i="66"/>
  <c r="E7" i="66"/>
  <c r="C12" i="66"/>
  <c r="D7" i="66"/>
  <c r="D10" i="66"/>
  <c r="C12" i="68"/>
  <c r="D7" i="68"/>
  <c r="D11" i="68"/>
  <c r="C8" i="68"/>
  <c r="C10" i="68"/>
  <c r="D6" i="70"/>
  <c r="D11" i="70"/>
  <c r="C10" i="70"/>
  <c r="C8" i="70"/>
  <c r="C11" i="70"/>
  <c r="D6" i="72"/>
  <c r="D11" i="72"/>
  <c r="C7" i="72"/>
  <c r="E6" i="72"/>
  <c r="D9" i="72"/>
  <c r="C6" i="74"/>
  <c r="C11" i="74"/>
  <c r="D12" i="74"/>
  <c r="C7" i="74"/>
  <c r="E9" i="74"/>
  <c r="C6" i="76"/>
  <c r="C11" i="76"/>
  <c r="D12" i="76"/>
  <c r="C7" i="76"/>
  <c r="E9" i="76"/>
  <c r="C6" i="78"/>
  <c r="C11" i="78"/>
  <c r="D12" i="78"/>
  <c r="C7" i="78"/>
  <c r="E9" i="78"/>
  <c r="C6" i="80"/>
  <c r="C8" i="80"/>
  <c r="D12" i="80"/>
  <c r="D6" i="82"/>
  <c r="C13" i="82"/>
  <c r="C14" i="82"/>
  <c r="C8" i="82"/>
  <c r="C11" i="82"/>
  <c r="C9" i="84"/>
  <c r="C7" i="84"/>
  <c r="D12" i="84"/>
  <c r="D9" i="84"/>
  <c r="C7" i="86"/>
  <c r="E7" i="86"/>
  <c r="C6" i="86"/>
  <c r="D9" i="86"/>
  <c r="C13" i="86"/>
  <c r="D7" i="88"/>
  <c r="C12" i="88"/>
  <c r="E7" i="88"/>
  <c r="E9" i="88"/>
  <c r="C14" i="88"/>
  <c r="D6" i="90"/>
  <c r="C8" i="90"/>
  <c r="C13" i="90"/>
  <c r="D8" i="90"/>
  <c r="C12" i="90"/>
  <c r="D6" i="92"/>
  <c r="D11" i="92"/>
  <c r="D7" i="92"/>
  <c r="D10" i="92"/>
  <c r="C14" i="92"/>
  <c r="C9" i="94"/>
  <c r="E9" i="94"/>
  <c r="D7" i="94"/>
  <c r="D10" i="94"/>
  <c r="C14" i="94"/>
  <c r="D6" i="96"/>
  <c r="D11" i="96"/>
  <c r="D7" i="96"/>
  <c r="D10" i="96"/>
  <c r="D11" i="98"/>
  <c r="D8" i="98"/>
  <c r="C14" i="98"/>
  <c r="D6" i="100"/>
  <c r="D11" i="100"/>
  <c r="D7" i="100"/>
  <c r="D10" i="100"/>
  <c r="C14" i="100"/>
  <c r="C10" i="102"/>
  <c r="D8" i="102"/>
  <c r="C9" i="8"/>
  <c r="E9" i="8"/>
  <c r="C14" i="8"/>
  <c r="D9" i="7"/>
  <c r="D7" i="7"/>
  <c r="D6" i="7"/>
  <c r="C9" i="7"/>
  <c r="C12" i="7"/>
  <c r="D10" i="8"/>
  <c r="E8" i="6"/>
  <c r="C8" i="103"/>
  <c r="C8" i="102"/>
  <c r="C8" i="101"/>
  <c r="D7" i="98"/>
  <c r="E6" i="97"/>
  <c r="E6" i="91"/>
  <c r="C13" i="91"/>
  <c r="C11" i="87"/>
  <c r="E7" i="81"/>
  <c r="E7" i="80"/>
  <c r="E7" i="77"/>
  <c r="C7" i="65"/>
  <c r="D12" i="65"/>
  <c r="C7" i="101"/>
  <c r="D6" i="85"/>
  <c r="C10" i="84"/>
  <c r="C10" i="83"/>
  <c r="C9" i="27"/>
  <c r="D7" i="19"/>
  <c r="C9" i="17"/>
  <c r="C10" i="16"/>
  <c r="D11" i="15"/>
  <c r="C12" i="14"/>
  <c r="D6" i="14"/>
  <c r="C7" i="13"/>
  <c r="D7" i="12"/>
  <c r="D9" i="11"/>
  <c r="D12" i="10"/>
  <c r="C6" i="10"/>
  <c r="H10" i="3"/>
  <c r="D6" i="3"/>
  <c r="C7" i="2"/>
  <c r="E6" i="22"/>
  <c r="C7" i="22"/>
  <c r="E8" i="24"/>
  <c r="D8" i="24"/>
  <c r="D10" i="24"/>
  <c r="E8" i="26"/>
  <c r="D8" i="26"/>
  <c r="D7" i="28"/>
  <c r="C14" i="28"/>
  <c r="D11" i="28"/>
  <c r="D11" i="30"/>
  <c r="C9" i="30"/>
  <c r="E7" i="32"/>
  <c r="E6" i="32"/>
  <c r="C13" i="32"/>
  <c r="C10" i="34"/>
  <c r="D9" i="34"/>
  <c r="E7" i="36"/>
  <c r="E6" i="36"/>
  <c r="C13" i="36"/>
  <c r="C10" i="38"/>
  <c r="D9" i="38"/>
  <c r="D7" i="40"/>
  <c r="C14" i="40"/>
  <c r="D11" i="40"/>
  <c r="D10" i="42"/>
  <c r="D8" i="42"/>
  <c r="D8" i="44"/>
  <c r="E6" i="44"/>
  <c r="C13" i="44"/>
  <c r="C7" i="46"/>
  <c r="D9" i="46"/>
  <c r="D7" i="48"/>
  <c r="D9" i="50"/>
  <c r="E7" i="50"/>
  <c r="E6" i="52"/>
  <c r="C13" i="52"/>
  <c r="C10" i="52"/>
  <c r="E9" i="54"/>
  <c r="E8" i="54"/>
  <c r="C7" i="56"/>
  <c r="C6" i="56"/>
  <c r="D12" i="56"/>
  <c r="C9" i="58"/>
  <c r="D7" i="58"/>
  <c r="C7" i="61"/>
  <c r="C6" i="61"/>
  <c r="D12" i="61"/>
  <c r="E9" i="63"/>
  <c r="C14" i="63"/>
  <c r="E6" i="67"/>
  <c r="C7" i="69"/>
  <c r="D12" i="69"/>
  <c r="E8" i="71"/>
  <c r="D10" i="73"/>
  <c r="C14" i="75"/>
  <c r="D9" i="77"/>
  <c r="D7" i="79"/>
  <c r="C6" i="81"/>
  <c r="C13" i="83"/>
  <c r="D8" i="87"/>
  <c r="D11" i="89"/>
  <c r="D6" i="91"/>
  <c r="C6" i="93"/>
  <c r="D12" i="95"/>
  <c r="D11" i="99"/>
  <c r="C9" i="6"/>
  <c r="J11" i="98"/>
  <c r="E20" i="98" s="1"/>
  <c r="J14" i="86"/>
  <c r="I10" i="2"/>
  <c r="I13" i="84"/>
  <c r="H14" i="82"/>
  <c r="I9" i="82"/>
  <c r="E18" i="82" s="1"/>
  <c r="I14" i="80"/>
  <c r="H7" i="80"/>
  <c r="J13" i="80"/>
  <c r="H12" i="78"/>
  <c r="I10" i="78"/>
  <c r="I8" i="78"/>
  <c r="J14" i="76"/>
  <c r="H13" i="76"/>
  <c r="I7" i="76"/>
  <c r="J11" i="76"/>
  <c r="E20" i="76" s="1"/>
  <c r="J14" i="74"/>
  <c r="H14" i="74"/>
  <c r="I9" i="74"/>
  <c r="E18" i="74" s="1"/>
  <c r="I13" i="74"/>
  <c r="H11" i="72"/>
  <c r="I11" i="72"/>
  <c r="I14" i="70"/>
  <c r="I10" i="70"/>
  <c r="I11" i="70"/>
  <c r="I9" i="70"/>
  <c r="E18" i="70" s="1"/>
  <c r="J14" i="68"/>
  <c r="I11" i="68"/>
  <c r="I9" i="68"/>
  <c r="E18" i="68" s="1"/>
  <c r="I10" i="68"/>
  <c r="J14" i="66"/>
  <c r="H14" i="66"/>
  <c r="J9" i="66"/>
  <c r="H12" i="66"/>
  <c r="J9" i="64"/>
  <c r="H12" i="64"/>
  <c r="I11" i="59"/>
  <c r="I10" i="59"/>
  <c r="I9" i="53"/>
  <c r="E18" i="53" s="1"/>
  <c r="I7" i="53"/>
  <c r="J11" i="47"/>
  <c r="E20" i="47" s="1"/>
  <c r="I7" i="47"/>
  <c r="I9" i="39"/>
  <c r="E18" i="39" s="1"/>
  <c r="I13" i="39"/>
  <c r="I13" i="35"/>
  <c r="J10" i="35"/>
  <c r="E19" i="35" s="1"/>
  <c r="J13" i="65"/>
  <c r="H14" i="65"/>
  <c r="I14" i="65"/>
  <c r="H7" i="65"/>
  <c r="I13" i="65"/>
  <c r="I12" i="65"/>
  <c r="I14" i="63"/>
  <c r="I8" i="63"/>
  <c r="I11" i="63"/>
  <c r="H11" i="56"/>
  <c r="H8" i="56"/>
  <c r="J13" i="50"/>
  <c r="J9" i="50"/>
  <c r="H11" i="44"/>
  <c r="H10" i="44"/>
  <c r="J14" i="40"/>
  <c r="H11" i="40"/>
  <c r="I9" i="24"/>
  <c r="E18" i="24" s="1"/>
  <c r="I14" i="24"/>
  <c r="I10" i="7"/>
  <c r="I12" i="7"/>
  <c r="H8" i="7"/>
  <c r="I11" i="7"/>
  <c r="J13" i="7"/>
  <c r="J9" i="8"/>
  <c r="J12" i="8"/>
  <c r="H11" i="8"/>
  <c r="H7" i="8"/>
  <c r="I11" i="8"/>
  <c r="I14" i="8"/>
  <c r="H10" i="102"/>
  <c r="J12" i="102"/>
  <c r="H8" i="102"/>
  <c r="I14" i="102"/>
  <c r="I12" i="102"/>
  <c r="J10" i="100"/>
  <c r="E19" i="100" s="1"/>
  <c r="I11" i="100"/>
  <c r="J12" i="100"/>
  <c r="I8" i="100"/>
  <c r="H11" i="100"/>
  <c r="I14" i="100"/>
  <c r="J13" i="98"/>
  <c r="J9" i="98"/>
  <c r="I7" i="98"/>
  <c r="H7" i="98"/>
  <c r="J12" i="98"/>
  <c r="H8" i="96"/>
  <c r="J13" i="96"/>
  <c r="I14" i="96"/>
  <c r="J9" i="96"/>
  <c r="H12" i="96"/>
  <c r="J14" i="96"/>
  <c r="J13" i="94"/>
  <c r="J10" i="94"/>
  <c r="E19" i="94" s="1"/>
  <c r="H14" i="94"/>
  <c r="J9" i="94"/>
  <c r="I12" i="94"/>
  <c r="I11" i="92"/>
  <c r="H12" i="92"/>
  <c r="J12" i="92"/>
  <c r="I8" i="92"/>
  <c r="H11" i="92"/>
  <c r="I14" i="92"/>
  <c r="H9" i="90"/>
  <c r="I12" i="90"/>
  <c r="J12" i="90"/>
  <c r="I7" i="90"/>
  <c r="J13" i="90"/>
  <c r="H11" i="88"/>
  <c r="J11" i="88"/>
  <c r="E20" i="88" s="1"/>
  <c r="H12" i="88"/>
  <c r="H8" i="88"/>
  <c r="H10" i="88"/>
  <c r="J14" i="88"/>
  <c r="I8" i="86"/>
  <c r="H9" i="86"/>
  <c r="H10" i="86"/>
  <c r="H8" i="86"/>
  <c r="H14" i="86"/>
  <c r="I7" i="84"/>
  <c r="I10" i="84"/>
  <c r="J11" i="82"/>
  <c r="E20" i="82" s="1"/>
  <c r="J9" i="80"/>
  <c r="I11" i="80"/>
  <c r="I9" i="78"/>
  <c r="E18" i="78" s="1"/>
  <c r="H7" i="76"/>
  <c r="I8" i="74"/>
  <c r="H12" i="74"/>
  <c r="I8" i="72"/>
  <c r="J14" i="70"/>
  <c r="I13" i="70"/>
  <c r="H12" i="68"/>
  <c r="J12" i="66"/>
  <c r="I9" i="64"/>
  <c r="E18" i="64" s="1"/>
  <c r="I7" i="62"/>
  <c r="H8" i="59"/>
  <c r="I13" i="57"/>
  <c r="H12" i="53"/>
  <c r="H13" i="51"/>
  <c r="H10" i="47"/>
  <c r="I13" i="45"/>
  <c r="I8" i="39"/>
  <c r="J11" i="37"/>
  <c r="E20" i="37" s="1"/>
  <c r="H12" i="33"/>
  <c r="I10" i="31"/>
  <c r="J9" i="65"/>
  <c r="H10" i="65"/>
  <c r="I11" i="65"/>
  <c r="I11" i="61"/>
  <c r="H8" i="58"/>
  <c r="H10" i="54"/>
  <c r="I11" i="52"/>
  <c r="H10" i="48"/>
  <c r="J9" i="46"/>
  <c r="J9" i="42"/>
  <c r="H10" i="40"/>
  <c r="J11" i="36"/>
  <c r="E20" i="36" s="1"/>
  <c r="I14" i="64"/>
  <c r="H11" i="64"/>
  <c r="I14" i="62"/>
  <c r="J11" i="62"/>
  <c r="E20" i="62" s="1"/>
  <c r="H9" i="62"/>
  <c r="H14" i="62"/>
  <c r="H12" i="62"/>
  <c r="I9" i="62"/>
  <c r="E18" i="62" s="1"/>
  <c r="J14" i="59"/>
  <c r="H13" i="59"/>
  <c r="I14" i="59"/>
  <c r="J10" i="59"/>
  <c r="E19" i="59" s="1"/>
  <c r="I8" i="59"/>
  <c r="H7" i="59"/>
  <c r="I13" i="59"/>
  <c r="I14" i="57"/>
  <c r="J11" i="57"/>
  <c r="E20" i="57" s="1"/>
  <c r="H9" i="57"/>
  <c r="I9" i="57"/>
  <c r="E18" i="57" s="1"/>
  <c r="I14" i="55"/>
  <c r="I13" i="55"/>
  <c r="I10" i="55"/>
  <c r="H7" i="55"/>
  <c r="H13" i="55"/>
  <c r="J10" i="55"/>
  <c r="E19" i="55" s="1"/>
  <c r="I7" i="55"/>
  <c r="I14" i="53"/>
  <c r="I11" i="53"/>
  <c r="H7" i="53"/>
  <c r="H13" i="53"/>
  <c r="H11" i="53"/>
  <c r="H9" i="53"/>
  <c r="H14" i="51"/>
  <c r="H12" i="51"/>
  <c r="I9" i="51"/>
  <c r="E18" i="51" s="1"/>
  <c r="I13" i="51"/>
  <c r="I10" i="51"/>
  <c r="H7" i="51"/>
  <c r="J14" i="49"/>
  <c r="H14" i="49"/>
  <c r="H12" i="49"/>
  <c r="I9" i="49"/>
  <c r="E18" i="49" s="1"/>
  <c r="I13" i="49"/>
  <c r="I10" i="49"/>
  <c r="H7" i="49"/>
  <c r="J13" i="47"/>
  <c r="I13" i="47"/>
  <c r="I10" i="47"/>
  <c r="H7" i="47"/>
  <c r="H14" i="47"/>
  <c r="J10" i="47"/>
  <c r="E19" i="47" s="1"/>
  <c r="I14" i="45"/>
  <c r="J11" i="45"/>
  <c r="E20" i="45" s="1"/>
  <c r="H9" i="45"/>
  <c r="J13" i="45"/>
  <c r="H14" i="45"/>
  <c r="J10" i="45"/>
  <c r="E19" i="45" s="1"/>
  <c r="J14" i="41"/>
  <c r="H14" i="41"/>
  <c r="H12" i="41"/>
  <c r="I9" i="41"/>
  <c r="E18" i="41" s="1"/>
  <c r="I13" i="41"/>
  <c r="I10" i="41"/>
  <c r="H7" i="41"/>
  <c r="I14" i="39"/>
  <c r="H12" i="39"/>
  <c r="I7" i="39"/>
  <c r="I11" i="39"/>
  <c r="H11" i="39"/>
  <c r="I14" i="37"/>
  <c r="I13" i="37"/>
  <c r="I10" i="37"/>
  <c r="H7" i="37"/>
  <c r="H13" i="37"/>
  <c r="J10" i="37"/>
  <c r="E19" i="37" s="1"/>
  <c r="I7" i="37"/>
  <c r="I14" i="35"/>
  <c r="J11" i="35"/>
  <c r="E20" i="35" s="1"/>
  <c r="H9" i="35"/>
  <c r="H14" i="35"/>
  <c r="H12" i="35"/>
  <c r="I9" i="35"/>
  <c r="E18" i="35" s="1"/>
  <c r="I14" i="33"/>
  <c r="I13" i="33"/>
  <c r="I10" i="33"/>
  <c r="H7" i="33"/>
  <c r="H13" i="33"/>
  <c r="J10" i="33"/>
  <c r="E19" i="33" s="1"/>
  <c r="I7" i="33"/>
  <c r="I14" i="31"/>
  <c r="J11" i="31"/>
  <c r="E20" i="31" s="1"/>
  <c r="H9" i="31"/>
  <c r="H14" i="31"/>
  <c r="H12" i="31"/>
  <c r="I9" i="31"/>
  <c r="E18" i="31" s="1"/>
  <c r="J14" i="29"/>
  <c r="H14" i="29"/>
  <c r="I9" i="29"/>
  <c r="E18" i="29" s="1"/>
  <c r="I10" i="29"/>
  <c r="I14" i="27"/>
  <c r="H7" i="27"/>
  <c r="H11" i="27"/>
  <c r="I14" i="25"/>
  <c r="H14" i="25"/>
  <c r="I9" i="25"/>
  <c r="E18" i="25" s="1"/>
  <c r="I8" i="25"/>
  <c r="I14" i="23"/>
  <c r="H9" i="23"/>
  <c r="I11" i="23"/>
  <c r="H13" i="21"/>
  <c r="I12" i="21"/>
  <c r="H14" i="21"/>
  <c r="H13" i="19"/>
  <c r="H14" i="19"/>
  <c r="I14" i="17"/>
  <c r="H12" i="17"/>
  <c r="I11" i="17"/>
  <c r="I14" i="15"/>
  <c r="I13" i="15"/>
  <c r="H7" i="15"/>
  <c r="J10" i="15"/>
  <c r="E19" i="15" s="1"/>
  <c r="I14" i="13"/>
  <c r="H9" i="13"/>
  <c r="H12" i="13"/>
  <c r="H14" i="11"/>
  <c r="H12" i="11"/>
  <c r="I13" i="11"/>
  <c r="H7" i="11"/>
  <c r="I14" i="2"/>
  <c r="I13" i="2"/>
  <c r="H7" i="2"/>
  <c r="J10" i="2"/>
  <c r="E19" i="2" s="1"/>
  <c r="J14" i="65"/>
  <c r="H12" i="65"/>
  <c r="J10" i="65"/>
  <c r="E19" i="65" s="1"/>
  <c r="J12" i="65"/>
  <c r="I7" i="65"/>
  <c r="H13" i="65"/>
  <c r="H8" i="65"/>
  <c r="H9" i="65"/>
  <c r="J11" i="65"/>
  <c r="E20" i="65" s="1"/>
  <c r="I8" i="65"/>
  <c r="H11" i="65"/>
  <c r="I12" i="63"/>
  <c r="J9" i="63"/>
  <c r="J12" i="63"/>
  <c r="H10" i="63"/>
  <c r="I12" i="61"/>
  <c r="J9" i="61"/>
  <c r="J14" i="61"/>
  <c r="J12" i="61"/>
  <c r="H10" i="61"/>
  <c r="H11" i="61"/>
  <c r="J13" i="61"/>
  <c r="H8" i="61"/>
  <c r="I14" i="58"/>
  <c r="J10" i="58"/>
  <c r="E19" i="58" s="1"/>
  <c r="H10" i="58"/>
  <c r="J11" i="58"/>
  <c r="E20" i="58" s="1"/>
  <c r="H11" i="58"/>
  <c r="J12" i="58"/>
  <c r="I8" i="58"/>
  <c r="I12" i="56"/>
  <c r="J9" i="56"/>
  <c r="J14" i="56"/>
  <c r="J12" i="56"/>
  <c r="H10" i="56"/>
  <c r="I14" i="56"/>
  <c r="I8" i="56"/>
  <c r="I11" i="56"/>
  <c r="I12" i="54"/>
  <c r="J9" i="54"/>
  <c r="H14" i="54"/>
  <c r="I11" i="54"/>
  <c r="H8" i="54"/>
  <c r="H11" i="54"/>
  <c r="J12" i="54"/>
  <c r="J12" i="52"/>
  <c r="H10" i="52"/>
  <c r="I14" i="52"/>
  <c r="H11" i="52"/>
  <c r="I8" i="52"/>
  <c r="H14" i="52"/>
  <c r="H8" i="52"/>
  <c r="J9" i="52"/>
  <c r="J14" i="50"/>
  <c r="J12" i="50"/>
  <c r="H10" i="50"/>
  <c r="I14" i="50"/>
  <c r="H11" i="50"/>
  <c r="I8" i="50"/>
  <c r="I11" i="50"/>
  <c r="I12" i="50"/>
  <c r="I12" i="48"/>
  <c r="H8" i="48"/>
  <c r="H13" i="48"/>
  <c r="H11" i="48"/>
  <c r="H9" i="48"/>
  <c r="I10" i="48"/>
  <c r="H12" i="48"/>
  <c r="I7" i="48"/>
  <c r="I14" i="46"/>
  <c r="H11" i="46"/>
  <c r="I8" i="46"/>
  <c r="H12" i="46"/>
  <c r="I7" i="46"/>
  <c r="H10" i="46"/>
  <c r="I12" i="46"/>
  <c r="H14" i="46"/>
  <c r="I12" i="44"/>
  <c r="J9" i="44"/>
  <c r="H14" i="44"/>
  <c r="J10" i="44"/>
  <c r="E19" i="44" s="1"/>
  <c r="J13" i="44"/>
  <c r="I14" i="44"/>
  <c r="I8" i="44"/>
  <c r="I7" i="44"/>
  <c r="J14" i="42"/>
  <c r="J12" i="42"/>
  <c r="H10" i="42"/>
  <c r="I14" i="42"/>
  <c r="H11" i="42"/>
  <c r="I8" i="42"/>
  <c r="I11" i="42"/>
  <c r="I12" i="42"/>
  <c r="J13" i="40"/>
  <c r="I11" i="40"/>
  <c r="H8" i="40"/>
  <c r="I12" i="40"/>
  <c r="J9" i="40"/>
  <c r="J12" i="40"/>
  <c r="I14" i="40"/>
  <c r="I8" i="40"/>
  <c r="I13" i="38"/>
  <c r="H7" i="38"/>
  <c r="I11" i="38"/>
  <c r="H8" i="38"/>
  <c r="H9" i="36"/>
  <c r="H12" i="36"/>
  <c r="H14" i="36"/>
  <c r="I10" i="34"/>
  <c r="H13" i="34"/>
  <c r="I7" i="34"/>
  <c r="I13" i="34"/>
  <c r="J10" i="34"/>
  <c r="E19" i="34" s="1"/>
  <c r="J9" i="32"/>
  <c r="I9" i="32"/>
  <c r="E18" i="32" s="1"/>
  <c r="I7" i="30"/>
  <c r="H11" i="30"/>
  <c r="J9" i="28"/>
  <c r="H8" i="28"/>
  <c r="H10" i="26"/>
  <c r="I14" i="26"/>
  <c r="J9" i="7"/>
  <c r="H7" i="7"/>
  <c r="I8" i="7"/>
  <c r="J11" i="7"/>
  <c r="E20" i="7" s="1"/>
  <c r="I13" i="7"/>
  <c r="I7" i="7"/>
  <c r="I9" i="7"/>
  <c r="E18" i="7" s="1"/>
  <c r="J10" i="7"/>
  <c r="E19" i="7" s="1"/>
  <c r="H12" i="7"/>
  <c r="H13" i="7"/>
  <c r="I7" i="8"/>
  <c r="J11" i="8"/>
  <c r="E20" i="8" s="1"/>
  <c r="J10" i="8"/>
  <c r="E19" i="8" s="1"/>
  <c r="H8" i="8"/>
  <c r="H10" i="8"/>
  <c r="H12" i="8"/>
  <c r="I8" i="8"/>
  <c r="I10" i="8"/>
  <c r="I12" i="8"/>
  <c r="I13" i="102"/>
  <c r="H11" i="102"/>
  <c r="H9" i="102"/>
  <c r="H14" i="102"/>
  <c r="J11" i="102"/>
  <c r="E20" i="102" s="1"/>
  <c r="J9" i="102"/>
  <c r="H13" i="102"/>
  <c r="I8" i="102"/>
  <c r="I9" i="102"/>
  <c r="E18" i="102" s="1"/>
  <c r="I11" i="102"/>
  <c r="I7" i="100"/>
  <c r="H12" i="100"/>
  <c r="H8" i="100"/>
  <c r="H13" i="100"/>
  <c r="H10" i="100"/>
  <c r="J13" i="100"/>
  <c r="H7" i="100"/>
  <c r="H9" i="100"/>
  <c r="I10" i="100"/>
  <c r="J11" i="100"/>
  <c r="E20" i="100" s="1"/>
  <c r="H13" i="98"/>
  <c r="I9" i="98"/>
  <c r="E18" i="98" s="1"/>
  <c r="I12" i="98"/>
  <c r="I8" i="98"/>
  <c r="H12" i="98"/>
  <c r="J14" i="98"/>
  <c r="H10" i="98"/>
  <c r="I13" i="98"/>
  <c r="H9" i="98"/>
  <c r="H11" i="98"/>
  <c r="I7" i="96"/>
  <c r="J10" i="96"/>
  <c r="E19" i="96" s="1"/>
  <c r="I12" i="96"/>
  <c r="I9" i="96"/>
  <c r="E18" i="96" s="1"/>
  <c r="H13" i="96"/>
  <c r="H7" i="96"/>
  <c r="H9" i="96"/>
  <c r="I10" i="96"/>
  <c r="J11" i="96"/>
  <c r="E20" i="96" s="1"/>
  <c r="J12" i="96"/>
  <c r="I9" i="94"/>
  <c r="E18" i="94" s="1"/>
  <c r="J12" i="94"/>
  <c r="J14" i="94"/>
  <c r="H8" i="94"/>
  <c r="I11" i="94"/>
  <c r="H13" i="94"/>
  <c r="H7" i="94"/>
  <c r="H9" i="94"/>
  <c r="I10" i="94"/>
  <c r="J11" i="94"/>
  <c r="E20" i="94" s="1"/>
  <c r="H8" i="92"/>
  <c r="H13" i="92"/>
  <c r="J10" i="92"/>
  <c r="E19" i="92" s="1"/>
  <c r="H14" i="92"/>
  <c r="H10" i="92"/>
  <c r="J13" i="92"/>
  <c r="H7" i="92"/>
  <c r="H9" i="92"/>
  <c r="I10" i="92"/>
  <c r="J11" i="92"/>
  <c r="E20" i="92" s="1"/>
  <c r="I13" i="90"/>
  <c r="I10" i="90"/>
  <c r="H7" i="90"/>
  <c r="I11" i="90"/>
  <c r="H11" i="90"/>
  <c r="I8" i="90"/>
  <c r="H10" i="90"/>
  <c r="I14" i="90"/>
  <c r="H8" i="90"/>
  <c r="H12" i="90"/>
  <c r="I12" i="88"/>
  <c r="J9" i="88"/>
  <c r="I13" i="88"/>
  <c r="I10" i="88"/>
  <c r="H7" i="88"/>
  <c r="I14" i="88"/>
  <c r="I7" i="88"/>
  <c r="I9" i="88"/>
  <c r="E18" i="88" s="1"/>
  <c r="H14" i="88"/>
  <c r="I11" i="88"/>
  <c r="I12" i="86"/>
  <c r="J9" i="86"/>
  <c r="I13" i="86"/>
  <c r="I10" i="86"/>
  <c r="H7" i="86"/>
  <c r="H13" i="86"/>
  <c r="I11" i="86"/>
  <c r="I7" i="86"/>
  <c r="I9" i="86"/>
  <c r="E18" i="86" s="1"/>
  <c r="H12" i="86"/>
  <c r="H14" i="84"/>
  <c r="H10" i="84"/>
  <c r="J12" i="84"/>
  <c r="H8" i="84"/>
  <c r="I9" i="84"/>
  <c r="E18" i="84" s="1"/>
  <c r="I8" i="84"/>
  <c r="I7" i="82"/>
  <c r="I8" i="82"/>
  <c r="I13" i="82"/>
  <c r="E19" i="82"/>
  <c r="H13" i="82"/>
  <c r="I7" i="80"/>
  <c r="J11" i="80"/>
  <c r="E20" i="80" s="1"/>
  <c r="H9" i="80"/>
  <c r="H13" i="80"/>
  <c r="I9" i="80"/>
  <c r="E18" i="80" s="1"/>
  <c r="I13" i="80"/>
  <c r="J11" i="78"/>
  <c r="E20" i="78" s="1"/>
  <c r="H7" i="78"/>
  <c r="I7" i="78"/>
  <c r="J10" i="78"/>
  <c r="E19" i="78" s="1"/>
  <c r="H13" i="78"/>
  <c r="I8" i="76"/>
  <c r="I13" i="76"/>
  <c r="I10" i="76"/>
  <c r="I9" i="76"/>
  <c r="E18" i="76" s="1"/>
  <c r="H12" i="76"/>
  <c r="H14" i="76"/>
  <c r="J11" i="74"/>
  <c r="E20" i="74" s="1"/>
  <c r="H7" i="74"/>
  <c r="I7" i="74"/>
  <c r="J10" i="74"/>
  <c r="E19" i="74" s="1"/>
  <c r="H13" i="74"/>
  <c r="H14" i="72"/>
  <c r="H8" i="72"/>
  <c r="I13" i="72"/>
  <c r="J9" i="72"/>
  <c r="H12" i="72"/>
  <c r="I14" i="72"/>
  <c r="J12" i="70"/>
  <c r="H8" i="70"/>
  <c r="H13" i="70"/>
  <c r="H9" i="70"/>
  <c r="J11" i="70"/>
  <c r="E20" i="70" s="1"/>
  <c r="I13" i="68"/>
  <c r="H7" i="68"/>
  <c r="I8" i="68"/>
  <c r="H8" i="68"/>
  <c r="I14" i="68"/>
  <c r="H13" i="68"/>
  <c r="J10" i="66"/>
  <c r="E19" i="66" s="1"/>
  <c r="I9" i="66"/>
  <c r="E18" i="66" s="1"/>
  <c r="I8" i="66"/>
  <c r="H11" i="66"/>
  <c r="I14" i="66"/>
  <c r="I7" i="64"/>
  <c r="J10" i="64"/>
  <c r="E19" i="64" s="1"/>
  <c r="H13" i="64"/>
  <c r="I8" i="64"/>
  <c r="I12" i="64"/>
  <c r="J10" i="62"/>
  <c r="E19" i="62" s="1"/>
  <c r="H7" i="62"/>
  <c r="I13" i="62"/>
  <c r="H11" i="59"/>
  <c r="J13" i="59"/>
  <c r="I7" i="57"/>
  <c r="I10" i="57"/>
  <c r="I9" i="55"/>
  <c r="E18" i="55" s="1"/>
  <c r="H14" i="55"/>
  <c r="J11" i="55"/>
  <c r="E20" i="55" s="1"/>
  <c r="H10" i="53"/>
  <c r="H14" i="53"/>
  <c r="I13" i="53"/>
  <c r="J11" i="51"/>
  <c r="E20" i="51" s="1"/>
  <c r="J10" i="51"/>
  <c r="E19" i="51" s="1"/>
  <c r="H9" i="49"/>
  <c r="I7" i="49"/>
  <c r="H13" i="49"/>
  <c r="H12" i="47"/>
  <c r="H9" i="47"/>
  <c r="I7" i="45"/>
  <c r="H10" i="45"/>
  <c r="I10" i="45"/>
  <c r="H9" i="41"/>
  <c r="I7" i="41"/>
  <c r="H13" i="41"/>
  <c r="H7" i="39"/>
  <c r="H13" i="39"/>
  <c r="H14" i="39"/>
  <c r="H12" i="37"/>
  <c r="H9" i="37"/>
  <c r="I7" i="35"/>
  <c r="H13" i="35"/>
  <c r="I10" i="35"/>
  <c r="I9" i="33"/>
  <c r="E18" i="33" s="1"/>
  <c r="H14" i="33"/>
  <c r="J11" i="33"/>
  <c r="E20" i="33" s="1"/>
  <c r="J10" i="31"/>
  <c r="E19" i="31" s="1"/>
  <c r="H7" i="31"/>
  <c r="H7" i="29"/>
  <c r="H12" i="29"/>
  <c r="H13" i="27"/>
  <c r="I12" i="25"/>
  <c r="J11" i="25"/>
  <c r="E20" i="25" s="1"/>
  <c r="J13" i="23"/>
  <c r="J9" i="21"/>
  <c r="I9" i="19"/>
  <c r="E18" i="19" s="1"/>
  <c r="I7" i="17"/>
  <c r="H13" i="15"/>
  <c r="I9" i="13"/>
  <c r="E18" i="13" s="1"/>
  <c r="J11" i="13"/>
  <c r="E20" i="13" s="1"/>
  <c r="I9" i="11"/>
  <c r="E18" i="11" s="1"/>
  <c r="H13" i="2"/>
  <c r="J13" i="81"/>
  <c r="I14" i="81"/>
  <c r="H14" i="81"/>
  <c r="I8" i="81"/>
  <c r="H7" i="81"/>
  <c r="I13" i="81"/>
  <c r="H10" i="12"/>
  <c r="I10" i="81"/>
  <c r="I9" i="81"/>
  <c r="E18" i="81" s="1"/>
  <c r="I11" i="81"/>
  <c r="H7" i="97"/>
  <c r="I14" i="97"/>
  <c r="I13" i="63"/>
  <c r="J11" i="63"/>
  <c r="E20" i="63" s="1"/>
  <c r="I10" i="63"/>
  <c r="H9" i="63"/>
  <c r="H7" i="63"/>
  <c r="H14" i="63"/>
  <c r="H13" i="63"/>
  <c r="H12" i="63"/>
  <c r="J10" i="63"/>
  <c r="E19" i="63" s="1"/>
  <c r="I9" i="63"/>
  <c r="E18" i="63" s="1"/>
  <c r="I7" i="63"/>
  <c r="I13" i="61"/>
  <c r="J11" i="61"/>
  <c r="E20" i="61" s="1"/>
  <c r="I10" i="61"/>
  <c r="H9" i="61"/>
  <c r="H7" i="61"/>
  <c r="H14" i="61"/>
  <c r="H13" i="61"/>
  <c r="H12" i="61"/>
  <c r="J10" i="61"/>
  <c r="E19" i="61" s="1"/>
  <c r="I9" i="61"/>
  <c r="E18" i="61" s="1"/>
  <c r="I7" i="61"/>
  <c r="H14" i="58"/>
  <c r="H12" i="58"/>
  <c r="I9" i="58"/>
  <c r="E18" i="58" s="1"/>
  <c r="I7" i="58"/>
  <c r="H13" i="58"/>
  <c r="I11" i="58"/>
  <c r="H7" i="58"/>
  <c r="I10" i="58"/>
  <c r="I13" i="58"/>
  <c r="J9" i="58"/>
  <c r="I12" i="58"/>
  <c r="I13" i="56"/>
  <c r="J11" i="56"/>
  <c r="E20" i="56" s="1"/>
  <c r="I10" i="56"/>
  <c r="H9" i="56"/>
  <c r="H7" i="56"/>
  <c r="H14" i="56"/>
  <c r="H13" i="56"/>
  <c r="H12" i="56"/>
  <c r="J10" i="56"/>
  <c r="E19" i="56" s="1"/>
  <c r="I9" i="56"/>
  <c r="E18" i="56" s="1"/>
  <c r="I7" i="56"/>
  <c r="I13" i="54"/>
  <c r="J11" i="54"/>
  <c r="E20" i="54" s="1"/>
  <c r="I10" i="54"/>
  <c r="H9" i="54"/>
  <c r="H7" i="54"/>
  <c r="H13" i="54"/>
  <c r="H12" i="54"/>
  <c r="J10" i="54"/>
  <c r="E19" i="54" s="1"/>
  <c r="I9" i="54"/>
  <c r="E18" i="54" s="1"/>
  <c r="I7" i="54"/>
  <c r="H13" i="52"/>
  <c r="H12" i="52"/>
  <c r="J10" i="52"/>
  <c r="E19" i="52" s="1"/>
  <c r="I9" i="52"/>
  <c r="E18" i="52" s="1"/>
  <c r="I7" i="52"/>
  <c r="I13" i="52"/>
  <c r="J11" i="52"/>
  <c r="E20" i="52" s="1"/>
  <c r="I10" i="52"/>
  <c r="H9" i="52"/>
  <c r="H7" i="52"/>
  <c r="H14" i="50"/>
  <c r="H13" i="50"/>
  <c r="H12" i="50"/>
  <c r="J10" i="50"/>
  <c r="E19" i="50" s="1"/>
  <c r="I9" i="50"/>
  <c r="E18" i="50" s="1"/>
  <c r="I7" i="50"/>
  <c r="I13" i="50"/>
  <c r="J11" i="50"/>
  <c r="E20" i="50" s="1"/>
  <c r="I10" i="50"/>
  <c r="H9" i="50"/>
  <c r="H7" i="50"/>
  <c r="I13" i="48"/>
  <c r="I11" i="48"/>
  <c r="I9" i="48"/>
  <c r="E18" i="48" s="1"/>
  <c r="J14" i="48"/>
  <c r="J13" i="48"/>
  <c r="J12" i="48"/>
  <c r="J11" i="48"/>
  <c r="E20" i="48" s="1"/>
  <c r="J10" i="48"/>
  <c r="E19" i="48" s="1"/>
  <c r="J9" i="48"/>
  <c r="I8" i="48"/>
  <c r="H7" i="48"/>
  <c r="I13" i="46"/>
  <c r="J11" i="46"/>
  <c r="E20" i="46" s="1"/>
  <c r="I10" i="46"/>
  <c r="H9" i="46"/>
  <c r="H7" i="46"/>
  <c r="H13" i="46"/>
  <c r="I11" i="46"/>
  <c r="H8" i="46"/>
  <c r="J12" i="46"/>
  <c r="I9" i="46"/>
  <c r="E18" i="46" s="1"/>
  <c r="I13" i="44"/>
  <c r="J11" i="44"/>
  <c r="E20" i="44" s="1"/>
  <c r="I10" i="44"/>
  <c r="H9" i="44"/>
  <c r="H7" i="44"/>
  <c r="H13" i="44"/>
  <c r="I11" i="44"/>
  <c r="H8" i="44"/>
  <c r="J14" i="44"/>
  <c r="J12" i="44"/>
  <c r="I9" i="44"/>
  <c r="E18" i="44" s="1"/>
  <c r="H14" i="42"/>
  <c r="H13" i="42"/>
  <c r="H12" i="42"/>
  <c r="J10" i="42"/>
  <c r="E19" i="42" s="1"/>
  <c r="I9" i="42"/>
  <c r="E18" i="42" s="1"/>
  <c r="I7" i="42"/>
  <c r="I13" i="42"/>
  <c r="J11" i="42"/>
  <c r="E20" i="42" s="1"/>
  <c r="I10" i="42"/>
  <c r="H9" i="42"/>
  <c r="H7" i="42"/>
  <c r="H14" i="40"/>
  <c r="H13" i="40"/>
  <c r="H12" i="40"/>
  <c r="J10" i="40"/>
  <c r="E19" i="40" s="1"/>
  <c r="I9" i="40"/>
  <c r="E18" i="40" s="1"/>
  <c r="I7" i="40"/>
  <c r="I13" i="40"/>
  <c r="J11" i="40"/>
  <c r="E20" i="40" s="1"/>
  <c r="I10" i="40"/>
  <c r="H9" i="40"/>
  <c r="H7" i="40"/>
  <c r="I14" i="38"/>
  <c r="I12" i="38"/>
  <c r="H11" i="38"/>
  <c r="J9" i="38"/>
  <c r="I8" i="38"/>
  <c r="J12" i="38"/>
  <c r="K12" i="38" s="1"/>
  <c r="J11" i="38"/>
  <c r="H9" i="38"/>
  <c r="H14" i="38"/>
  <c r="H12" i="38"/>
  <c r="I9" i="38"/>
  <c r="E18" i="38" s="1"/>
  <c r="I7" i="38"/>
  <c r="I14" i="36"/>
  <c r="I12" i="36"/>
  <c r="H11" i="36"/>
  <c r="J9" i="36"/>
  <c r="I8" i="36"/>
  <c r="J12" i="36"/>
  <c r="I11" i="36"/>
  <c r="H10" i="36"/>
  <c r="H8" i="36"/>
  <c r="I13" i="36"/>
  <c r="I10" i="36"/>
  <c r="H7" i="36"/>
  <c r="H13" i="36"/>
  <c r="J10" i="36"/>
  <c r="E19" i="36" s="1"/>
  <c r="I7" i="36"/>
  <c r="I14" i="34"/>
  <c r="I12" i="34"/>
  <c r="H11" i="34"/>
  <c r="J9" i="34"/>
  <c r="I8" i="34"/>
  <c r="J14" i="34"/>
  <c r="J13" i="34"/>
  <c r="J12" i="34"/>
  <c r="I11" i="34"/>
  <c r="H10" i="34"/>
  <c r="H8" i="34"/>
  <c r="J11" i="34"/>
  <c r="E20" i="34" s="1"/>
  <c r="H9" i="34"/>
  <c r="H14" i="34"/>
  <c r="H12" i="34"/>
  <c r="I9" i="34"/>
  <c r="E18" i="34" s="1"/>
  <c r="I14" i="32"/>
  <c r="H11" i="32"/>
  <c r="I8" i="32"/>
  <c r="J13" i="32"/>
  <c r="I11" i="32"/>
  <c r="H10" i="32"/>
  <c r="H8" i="32"/>
  <c r="I12" i="32"/>
  <c r="J14" i="32"/>
  <c r="J10" i="32"/>
  <c r="E19" i="32" s="1"/>
  <c r="I7" i="32"/>
  <c r="J12" i="30"/>
  <c r="H14" i="30"/>
  <c r="I9" i="30"/>
  <c r="E18" i="30" s="1"/>
  <c r="H9" i="30"/>
  <c r="I8" i="30"/>
  <c r="J14" i="30"/>
  <c r="H12" i="30"/>
  <c r="J11" i="30"/>
  <c r="E20" i="30" s="1"/>
  <c r="J12" i="28"/>
  <c r="H10" i="28"/>
  <c r="I14" i="28"/>
  <c r="H11" i="28"/>
  <c r="I8" i="28"/>
  <c r="I11" i="28"/>
  <c r="I12" i="28"/>
  <c r="H12" i="26"/>
  <c r="J12" i="26"/>
  <c r="I9" i="26"/>
  <c r="E18" i="26" s="1"/>
  <c r="J9" i="26"/>
  <c r="H9" i="26"/>
  <c r="J14" i="26"/>
  <c r="I7" i="26"/>
  <c r="J11" i="26"/>
  <c r="E20" i="26" s="1"/>
  <c r="I8" i="24"/>
  <c r="J10" i="24"/>
  <c r="E19" i="24" s="1"/>
  <c r="I7" i="24"/>
  <c r="J9" i="24"/>
  <c r="H13" i="24"/>
  <c r="H11" i="24"/>
  <c r="H14" i="22"/>
  <c r="J12" i="22"/>
  <c r="I8" i="22"/>
  <c r="H9" i="22"/>
  <c r="J14" i="20"/>
  <c r="I12" i="20"/>
  <c r="J14" i="18"/>
  <c r="H10" i="18"/>
  <c r="H11" i="18"/>
  <c r="J12" i="18"/>
  <c r="I8" i="18"/>
  <c r="J9" i="16"/>
  <c r="J12" i="16"/>
  <c r="J14" i="16"/>
  <c r="H11" i="14"/>
  <c r="J13" i="14"/>
  <c r="H8" i="14"/>
  <c r="I14" i="14"/>
  <c r="I11" i="14"/>
  <c r="J13" i="86"/>
  <c r="H13" i="84"/>
  <c r="H11" i="84"/>
  <c r="H9" i="84"/>
  <c r="J11" i="84"/>
  <c r="E20" i="84" s="1"/>
  <c r="J9" i="84"/>
  <c r="I12" i="84"/>
  <c r="I14" i="84"/>
  <c r="I11" i="84"/>
  <c r="H7" i="84"/>
  <c r="H11" i="82"/>
  <c r="H8" i="82"/>
  <c r="H7" i="82"/>
  <c r="H9" i="82"/>
  <c r="I12" i="82"/>
  <c r="I14" i="82"/>
  <c r="I11" i="82"/>
  <c r="J12" i="82"/>
  <c r="I8" i="80"/>
  <c r="J10" i="80"/>
  <c r="E19" i="80" s="1"/>
  <c r="J12" i="80"/>
  <c r="J14" i="80"/>
  <c r="H10" i="80"/>
  <c r="H12" i="80"/>
  <c r="H14" i="80"/>
  <c r="H8" i="80"/>
  <c r="I10" i="80"/>
  <c r="I12" i="80"/>
  <c r="H9" i="78"/>
  <c r="I12" i="78"/>
  <c r="I14" i="78"/>
  <c r="J9" i="78"/>
  <c r="H11" i="78"/>
  <c r="H8" i="78"/>
  <c r="H10" i="78"/>
  <c r="I11" i="78"/>
  <c r="J12" i="78"/>
  <c r="H9" i="76"/>
  <c r="I12" i="76"/>
  <c r="I14" i="76"/>
  <c r="J9" i="76"/>
  <c r="H11" i="76"/>
  <c r="H8" i="76"/>
  <c r="H10" i="76"/>
  <c r="I11" i="76"/>
  <c r="J12" i="76"/>
  <c r="J13" i="76"/>
  <c r="H9" i="74"/>
  <c r="I12" i="74"/>
  <c r="I14" i="74"/>
  <c r="J9" i="74"/>
  <c r="H11" i="74"/>
  <c r="H8" i="74"/>
  <c r="H10" i="74"/>
  <c r="I11" i="74"/>
  <c r="J12" i="74"/>
  <c r="J13" i="74"/>
  <c r="I9" i="72"/>
  <c r="E18" i="72" s="1"/>
  <c r="I7" i="72"/>
  <c r="J10" i="72"/>
  <c r="E19" i="72" s="1"/>
  <c r="I12" i="72"/>
  <c r="H7" i="72"/>
  <c r="H9" i="72"/>
  <c r="I10" i="72"/>
  <c r="J11" i="72"/>
  <c r="E20" i="72" s="1"/>
  <c r="J12" i="72"/>
  <c r="H10" i="70"/>
  <c r="J13" i="70"/>
  <c r="I7" i="70"/>
  <c r="J10" i="70"/>
  <c r="E19" i="70" s="1"/>
  <c r="H12" i="70"/>
  <c r="H14" i="70"/>
  <c r="I8" i="70"/>
  <c r="J9" i="70"/>
  <c r="H11" i="70"/>
  <c r="I12" i="70"/>
  <c r="J11" i="68"/>
  <c r="E20" i="68" s="1"/>
  <c r="H9" i="68"/>
  <c r="I12" i="68"/>
  <c r="J9" i="68"/>
  <c r="I7" i="68"/>
  <c r="H14" i="68"/>
  <c r="J10" i="68"/>
  <c r="E19" i="68" s="1"/>
  <c r="J13" i="68"/>
  <c r="H10" i="68"/>
  <c r="J12" i="68"/>
  <c r="H8" i="66"/>
  <c r="I11" i="66"/>
  <c r="H13" i="66"/>
  <c r="H10" i="66"/>
  <c r="H7" i="66"/>
  <c r="H9" i="66"/>
  <c r="I10" i="66"/>
  <c r="J11" i="66"/>
  <c r="E20" i="66" s="1"/>
  <c r="I13" i="66"/>
  <c r="J13" i="66"/>
  <c r="H8" i="64"/>
  <c r="H10" i="64"/>
  <c r="I11" i="64"/>
  <c r="J12" i="64"/>
  <c r="H7" i="64"/>
  <c r="H9" i="64"/>
  <c r="I10" i="64"/>
  <c r="J11" i="64"/>
  <c r="E20" i="64" s="1"/>
  <c r="I13" i="64"/>
  <c r="H8" i="62"/>
  <c r="H10" i="62"/>
  <c r="I11" i="62"/>
  <c r="J12" i="62"/>
  <c r="J13" i="62"/>
  <c r="J14" i="62"/>
  <c r="I8" i="62"/>
  <c r="J9" i="62"/>
  <c r="H11" i="62"/>
  <c r="I12" i="62"/>
  <c r="J11" i="59"/>
  <c r="E20" i="59" s="1"/>
  <c r="H9" i="59"/>
  <c r="I12" i="59"/>
  <c r="J9" i="59"/>
  <c r="I7" i="59"/>
  <c r="I9" i="59"/>
  <c r="E18" i="59" s="1"/>
  <c r="H12" i="59"/>
  <c r="H14" i="59"/>
  <c r="H10" i="59"/>
  <c r="J12" i="59"/>
  <c r="H8" i="57"/>
  <c r="I11" i="57"/>
  <c r="J12" i="57"/>
  <c r="I8" i="57"/>
  <c r="J9" i="57"/>
  <c r="I12" i="57"/>
  <c r="H8" i="55"/>
  <c r="H10" i="55"/>
  <c r="I11" i="55"/>
  <c r="J12" i="55"/>
  <c r="J13" i="55"/>
  <c r="J14" i="55"/>
  <c r="I8" i="55"/>
  <c r="J9" i="55"/>
  <c r="H11" i="55"/>
  <c r="I12" i="55"/>
  <c r="I8" i="53"/>
  <c r="J9" i="53"/>
  <c r="J10" i="53"/>
  <c r="E19" i="53" s="1"/>
  <c r="J11" i="53"/>
  <c r="E20" i="53" s="1"/>
  <c r="J12" i="53"/>
  <c r="J13" i="53"/>
  <c r="J14" i="53"/>
  <c r="H8" i="53"/>
  <c r="I10" i="53"/>
  <c r="I12" i="53"/>
  <c r="I8" i="51"/>
  <c r="J9" i="51"/>
  <c r="H11" i="51"/>
  <c r="I12" i="51"/>
  <c r="I14" i="51"/>
  <c r="H8" i="51"/>
  <c r="H10" i="51"/>
  <c r="I11" i="51"/>
  <c r="J12" i="51"/>
  <c r="I8" i="49"/>
  <c r="J9" i="49"/>
  <c r="H11" i="49"/>
  <c r="I12" i="49"/>
  <c r="I14" i="49"/>
  <c r="H8" i="49"/>
  <c r="H10" i="49"/>
  <c r="I11" i="49"/>
  <c r="J12" i="49"/>
  <c r="J13" i="49"/>
  <c r="H8" i="47"/>
  <c r="I11" i="47"/>
  <c r="H13" i="47"/>
  <c r="I9" i="47"/>
  <c r="E18" i="47" s="1"/>
  <c r="J12" i="47"/>
  <c r="I8" i="47"/>
  <c r="J9" i="47"/>
  <c r="H11" i="47"/>
  <c r="I12" i="47"/>
  <c r="I14" i="47"/>
  <c r="H8" i="45"/>
  <c r="I11" i="45"/>
  <c r="H13" i="45"/>
  <c r="I9" i="45"/>
  <c r="E18" i="45" s="1"/>
  <c r="J12" i="45"/>
  <c r="J14" i="45"/>
  <c r="I8" i="45"/>
  <c r="J9" i="45"/>
  <c r="H11" i="45"/>
  <c r="I12" i="45"/>
  <c r="I8" i="41"/>
  <c r="J9" i="41"/>
  <c r="H11" i="41"/>
  <c r="I12" i="41"/>
  <c r="I14" i="41"/>
  <c r="H8" i="41"/>
  <c r="H10" i="41"/>
  <c r="I11" i="41"/>
  <c r="J12" i="41"/>
  <c r="J13" i="41"/>
  <c r="J11" i="39"/>
  <c r="E20" i="39" s="1"/>
  <c r="H9" i="39"/>
  <c r="I12" i="39"/>
  <c r="J9" i="39"/>
  <c r="J12" i="39"/>
  <c r="J14" i="39"/>
  <c r="H8" i="39"/>
  <c r="J13" i="39"/>
  <c r="H8" i="37"/>
  <c r="H10" i="37"/>
  <c r="I11" i="37"/>
  <c r="J12" i="37"/>
  <c r="J13" i="37"/>
  <c r="J14" i="37"/>
  <c r="I8" i="37"/>
  <c r="J9" i="37"/>
  <c r="H11" i="37"/>
  <c r="I12" i="37"/>
  <c r="H8" i="35"/>
  <c r="H10" i="35"/>
  <c r="I11" i="35"/>
  <c r="J12" i="35"/>
  <c r="J13" i="35"/>
  <c r="J14" i="35"/>
  <c r="I8" i="35"/>
  <c r="J9" i="35"/>
  <c r="H11" i="35"/>
  <c r="I12" i="35"/>
  <c r="H8" i="33"/>
  <c r="H10" i="33"/>
  <c r="I11" i="33"/>
  <c r="J12" i="33"/>
  <c r="J13" i="33"/>
  <c r="J14" i="33"/>
  <c r="I8" i="33"/>
  <c r="J9" i="33"/>
  <c r="H11" i="33"/>
  <c r="I12" i="33"/>
  <c r="H8" i="31"/>
  <c r="H10" i="31"/>
  <c r="I11" i="31"/>
  <c r="J12" i="31"/>
  <c r="J13" i="31"/>
  <c r="J14" i="31"/>
  <c r="I8" i="31"/>
  <c r="J9" i="31"/>
  <c r="H11" i="31"/>
  <c r="I13" i="31"/>
  <c r="H9" i="29"/>
  <c r="J11" i="29"/>
  <c r="E20" i="29" s="1"/>
  <c r="I7" i="29"/>
  <c r="J10" i="29"/>
  <c r="E19" i="29" s="1"/>
  <c r="H13" i="29"/>
  <c r="I7" i="27"/>
  <c r="H10" i="27"/>
  <c r="H12" i="27"/>
  <c r="H14" i="27"/>
  <c r="I9" i="27"/>
  <c r="E18" i="27" s="1"/>
  <c r="I13" i="27"/>
  <c r="I10" i="25"/>
  <c r="I7" i="25"/>
  <c r="J10" i="25"/>
  <c r="E19" i="25" s="1"/>
  <c r="H13" i="25"/>
  <c r="H7" i="25"/>
  <c r="I8" i="23"/>
  <c r="I13" i="23"/>
  <c r="J12" i="23"/>
  <c r="J14" i="23"/>
  <c r="I12" i="23"/>
  <c r="J12" i="21"/>
  <c r="I8" i="21"/>
  <c r="H11" i="21"/>
  <c r="I14" i="21"/>
  <c r="I11" i="21"/>
  <c r="I7" i="19"/>
  <c r="H12" i="19"/>
  <c r="H10" i="19"/>
  <c r="J14" i="19"/>
  <c r="H13" i="17"/>
  <c r="I9" i="17"/>
  <c r="E18" i="17" s="1"/>
  <c r="H14" i="17"/>
  <c r="I9" i="15"/>
  <c r="E18" i="15" s="1"/>
  <c r="H12" i="15"/>
  <c r="H14" i="15"/>
  <c r="H9" i="15"/>
  <c r="J11" i="15"/>
  <c r="E20" i="15" s="1"/>
  <c r="I7" i="13"/>
  <c r="J10" i="13"/>
  <c r="E19" i="13" s="1"/>
  <c r="H13" i="13"/>
  <c r="H7" i="13"/>
  <c r="I10" i="13"/>
  <c r="I13" i="13"/>
  <c r="H9" i="11"/>
  <c r="J11" i="11"/>
  <c r="E20" i="11" s="1"/>
  <c r="I7" i="11"/>
  <c r="H13" i="11"/>
  <c r="I9" i="2"/>
  <c r="E18" i="2" s="1"/>
  <c r="H12" i="2"/>
  <c r="H14" i="2"/>
  <c r="H9" i="2"/>
  <c r="J11" i="2"/>
  <c r="E20" i="2" s="1"/>
  <c r="J12" i="10"/>
  <c r="I8" i="10"/>
  <c r="C13" i="20"/>
  <c r="E9" i="20"/>
  <c r="J14" i="81"/>
  <c r="H12" i="81"/>
  <c r="J10" i="81"/>
  <c r="E19" i="81" s="1"/>
  <c r="H13" i="81"/>
  <c r="H8" i="81"/>
  <c r="J12" i="81"/>
  <c r="I7" i="81"/>
  <c r="J9" i="81"/>
  <c r="I12" i="81"/>
  <c r="H9" i="81"/>
  <c r="J11" i="81"/>
  <c r="E20" i="81" s="1"/>
  <c r="I14" i="10"/>
  <c r="H8" i="101"/>
  <c r="H14" i="101"/>
  <c r="I10" i="91"/>
  <c r="H11" i="91"/>
  <c r="I13" i="32"/>
  <c r="J11" i="32"/>
  <c r="E20" i="32" s="1"/>
  <c r="I10" i="32"/>
  <c r="H9" i="32"/>
  <c r="H7" i="32"/>
  <c r="H14" i="32"/>
  <c r="H13" i="32"/>
  <c r="H12" i="32"/>
  <c r="H13" i="30"/>
  <c r="I11" i="30"/>
  <c r="I14" i="30"/>
  <c r="J13" i="30"/>
  <c r="J10" i="30"/>
  <c r="E19" i="30" s="1"/>
  <c r="H8" i="30"/>
  <c r="H7" i="30"/>
  <c r="I10" i="30"/>
  <c r="I13" i="30"/>
  <c r="J9" i="30"/>
  <c r="I12" i="30"/>
  <c r="H14" i="28"/>
  <c r="H13" i="28"/>
  <c r="H12" i="28"/>
  <c r="J10" i="28"/>
  <c r="E19" i="28" s="1"/>
  <c r="I9" i="28"/>
  <c r="E18" i="28" s="1"/>
  <c r="I7" i="28"/>
  <c r="I13" i="28"/>
  <c r="J11" i="28"/>
  <c r="E20" i="28" s="1"/>
  <c r="I10" i="28"/>
  <c r="H9" i="28"/>
  <c r="H7" i="28"/>
  <c r="H14" i="26"/>
  <c r="J10" i="26"/>
  <c r="E19" i="26" s="1"/>
  <c r="H13" i="26"/>
  <c r="I11" i="26"/>
  <c r="J13" i="26"/>
  <c r="H8" i="26"/>
  <c r="I8" i="26"/>
  <c r="H11" i="26"/>
  <c r="H7" i="26"/>
  <c r="I10" i="26"/>
  <c r="I13" i="26"/>
  <c r="J11" i="24"/>
  <c r="E20" i="24" s="1"/>
  <c r="H14" i="24"/>
  <c r="H12" i="24"/>
  <c r="H10" i="24"/>
  <c r="H8" i="24"/>
  <c r="I13" i="24"/>
  <c r="I10" i="24"/>
  <c r="H7" i="24"/>
  <c r="J14" i="22"/>
  <c r="H12" i="22"/>
  <c r="I7" i="22"/>
  <c r="H10" i="22"/>
  <c r="J11" i="22"/>
  <c r="E20" i="22" s="1"/>
  <c r="H11" i="22"/>
  <c r="J9" i="20"/>
  <c r="J12" i="20"/>
  <c r="J13" i="18"/>
  <c r="I11" i="18"/>
  <c r="H8" i="18"/>
  <c r="I12" i="18"/>
  <c r="J9" i="18"/>
  <c r="I14" i="16"/>
  <c r="H11" i="16"/>
  <c r="I8" i="16"/>
  <c r="J13" i="16"/>
  <c r="I11" i="16"/>
  <c r="H8" i="16"/>
  <c r="I12" i="14"/>
  <c r="J9" i="14"/>
  <c r="J14" i="14"/>
  <c r="J12" i="14"/>
  <c r="H10" i="14"/>
  <c r="J12" i="12"/>
  <c r="H14" i="12"/>
  <c r="H8" i="12"/>
  <c r="J14" i="10"/>
  <c r="H11" i="10"/>
  <c r="I12" i="31"/>
  <c r="I8" i="29"/>
  <c r="J9" i="29"/>
  <c r="H11" i="29"/>
  <c r="I12" i="29"/>
  <c r="I14" i="29"/>
  <c r="H8" i="29"/>
  <c r="H10" i="29"/>
  <c r="I11" i="29"/>
  <c r="J12" i="29"/>
  <c r="J13" i="29"/>
  <c r="I8" i="27"/>
  <c r="J9" i="27"/>
  <c r="J10" i="27"/>
  <c r="E19" i="27" s="1"/>
  <c r="J11" i="27"/>
  <c r="E20" i="27" s="1"/>
  <c r="J12" i="27"/>
  <c r="J13" i="27"/>
  <c r="J14" i="27"/>
  <c r="H8" i="27"/>
  <c r="I10" i="27"/>
  <c r="I12" i="27"/>
  <c r="H9" i="25"/>
  <c r="H11" i="25"/>
  <c r="I13" i="25"/>
  <c r="H8" i="25"/>
  <c r="H10" i="25"/>
  <c r="I11" i="25"/>
  <c r="J12" i="25"/>
  <c r="J13" i="25"/>
  <c r="J14" i="25"/>
  <c r="J9" i="25"/>
  <c r="J9" i="23"/>
  <c r="H11" i="23"/>
  <c r="I7" i="23"/>
  <c r="I9" i="23"/>
  <c r="E18" i="23" s="1"/>
  <c r="H12" i="23"/>
  <c r="H13" i="23"/>
  <c r="H14" i="23"/>
  <c r="H7" i="23"/>
  <c r="J11" i="23"/>
  <c r="E20" i="23" s="1"/>
  <c r="H10" i="21"/>
  <c r="H7" i="21"/>
  <c r="H9" i="21"/>
  <c r="I10" i="21"/>
  <c r="J11" i="21"/>
  <c r="E20" i="21" s="1"/>
  <c r="I13" i="21"/>
  <c r="I7" i="21"/>
  <c r="J10" i="21"/>
  <c r="E19" i="21" s="1"/>
  <c r="H12" i="21"/>
  <c r="H8" i="19"/>
  <c r="J10" i="19"/>
  <c r="E19" i="19" s="1"/>
  <c r="J13" i="19"/>
  <c r="I14" i="19"/>
  <c r="I11" i="19"/>
  <c r="H10" i="17"/>
  <c r="J12" i="17"/>
  <c r="J14" i="17"/>
  <c r="H8" i="17"/>
  <c r="J10" i="17"/>
  <c r="E19" i="17" s="1"/>
  <c r="J13" i="17"/>
  <c r="H8" i="15"/>
  <c r="H10" i="15"/>
  <c r="I11" i="15"/>
  <c r="J12" i="15"/>
  <c r="J13" i="15"/>
  <c r="J14" i="15"/>
  <c r="I8" i="15"/>
  <c r="J9" i="15"/>
  <c r="H11" i="15"/>
  <c r="I12" i="15"/>
  <c r="H8" i="13"/>
  <c r="H10" i="13"/>
  <c r="I11" i="13"/>
  <c r="J12" i="13"/>
  <c r="J13" i="13"/>
  <c r="J14" i="13"/>
  <c r="I8" i="13"/>
  <c r="J9" i="13"/>
  <c r="H11" i="13"/>
  <c r="I12" i="13"/>
  <c r="I8" i="11"/>
  <c r="J9" i="11"/>
  <c r="H11" i="11"/>
  <c r="I12" i="11"/>
  <c r="I14" i="11"/>
  <c r="H8" i="11"/>
  <c r="I11" i="11"/>
  <c r="J12" i="11"/>
  <c r="H8" i="2"/>
  <c r="H10" i="2"/>
  <c r="I11" i="2"/>
  <c r="J13" i="2"/>
  <c r="J14" i="2"/>
  <c r="I8" i="2"/>
  <c r="J9" i="2"/>
  <c r="H11" i="2"/>
  <c r="I12" i="2"/>
  <c r="I9" i="85"/>
  <c r="E18" i="85" s="1"/>
  <c r="C7" i="20"/>
  <c r="C6" i="20"/>
  <c r="D12" i="20"/>
  <c r="I7" i="6"/>
  <c r="I12" i="6"/>
  <c r="J13" i="77"/>
  <c r="I8" i="77"/>
  <c r="J12" i="71"/>
  <c r="H8" i="71"/>
  <c r="H10" i="67"/>
  <c r="J14" i="67"/>
  <c r="I12" i="24"/>
  <c r="H9" i="24"/>
  <c r="J14" i="24"/>
  <c r="J13" i="24"/>
  <c r="J12" i="24"/>
  <c r="I11" i="24"/>
  <c r="I14" i="22"/>
  <c r="J13" i="22"/>
  <c r="J10" i="22"/>
  <c r="E19" i="22" s="1"/>
  <c r="H8" i="22"/>
  <c r="H13" i="22"/>
  <c r="I11" i="22"/>
  <c r="H7" i="22"/>
  <c r="I10" i="22"/>
  <c r="I13" i="22"/>
  <c r="J9" i="22"/>
  <c r="I12" i="22"/>
  <c r="I14" i="20"/>
  <c r="H11" i="20"/>
  <c r="I8" i="20"/>
  <c r="J13" i="20"/>
  <c r="I11" i="20"/>
  <c r="H8" i="20"/>
  <c r="H14" i="18"/>
  <c r="H13" i="18"/>
  <c r="H12" i="18"/>
  <c r="J10" i="18"/>
  <c r="E19" i="18" s="1"/>
  <c r="I9" i="18"/>
  <c r="E18" i="18" s="1"/>
  <c r="I7" i="18"/>
  <c r="I13" i="18"/>
  <c r="J11" i="18"/>
  <c r="E20" i="18" s="1"/>
  <c r="I10" i="18"/>
  <c r="H9" i="18"/>
  <c r="H7" i="18"/>
  <c r="I13" i="16"/>
  <c r="J11" i="16"/>
  <c r="E20" i="16" s="1"/>
  <c r="I10" i="16"/>
  <c r="H9" i="16"/>
  <c r="H7" i="16"/>
  <c r="H14" i="16"/>
  <c r="H13" i="16"/>
  <c r="H12" i="16"/>
  <c r="J10" i="16"/>
  <c r="E19" i="16" s="1"/>
  <c r="I9" i="16"/>
  <c r="E18" i="16" s="1"/>
  <c r="I7" i="16"/>
  <c r="I13" i="14"/>
  <c r="J11" i="14"/>
  <c r="E20" i="14" s="1"/>
  <c r="I10" i="14"/>
  <c r="H9" i="14"/>
  <c r="H7" i="14"/>
  <c r="H14" i="14"/>
  <c r="H13" i="14"/>
  <c r="H12" i="14"/>
  <c r="J10" i="14"/>
  <c r="E19" i="14" s="1"/>
  <c r="I9" i="14"/>
  <c r="E18" i="14" s="1"/>
  <c r="I7" i="14"/>
  <c r="H13" i="12"/>
  <c r="I11" i="12"/>
  <c r="I14" i="12"/>
  <c r="H12" i="12"/>
  <c r="I9" i="12"/>
  <c r="E18" i="12" s="1"/>
  <c r="I7" i="12"/>
  <c r="J13" i="10"/>
  <c r="I11" i="10"/>
  <c r="H8" i="10"/>
  <c r="I12" i="10"/>
  <c r="J9" i="10"/>
  <c r="J13" i="1"/>
  <c r="J14" i="1"/>
  <c r="I11" i="6"/>
  <c r="H12" i="6"/>
  <c r="D8" i="20"/>
  <c r="D11" i="20"/>
  <c r="D7" i="20"/>
  <c r="D10" i="20"/>
  <c r="C14" i="20"/>
  <c r="J13" i="11"/>
  <c r="I14" i="6"/>
  <c r="J14" i="6"/>
  <c r="J10" i="6"/>
  <c r="E19" i="6" s="1"/>
  <c r="H8" i="6"/>
  <c r="J12" i="6"/>
  <c r="J9" i="6"/>
  <c r="H10" i="6"/>
  <c r="I10" i="6"/>
  <c r="J13" i="6"/>
  <c r="I9" i="6"/>
  <c r="E18" i="6" s="1"/>
  <c r="H13" i="6"/>
  <c r="I12" i="103"/>
  <c r="H7" i="103"/>
  <c r="J11" i="103"/>
  <c r="E20" i="103" s="1"/>
  <c r="J11" i="101"/>
  <c r="E20" i="101" s="1"/>
  <c r="I8" i="101"/>
  <c r="J10" i="99"/>
  <c r="E19" i="99" s="1"/>
  <c r="I13" i="99"/>
  <c r="H14" i="97"/>
  <c r="I12" i="97"/>
  <c r="I13" i="97"/>
  <c r="J10" i="95"/>
  <c r="E19" i="95" s="1"/>
  <c r="I14" i="95"/>
  <c r="J9" i="95"/>
  <c r="I13" i="93"/>
  <c r="H7" i="93"/>
  <c r="H12" i="93"/>
  <c r="J11" i="91"/>
  <c r="E20" i="91" s="1"/>
  <c r="I9" i="91"/>
  <c r="E18" i="91" s="1"/>
  <c r="I10" i="89"/>
  <c r="H10" i="89"/>
  <c r="I7" i="89"/>
  <c r="J12" i="87"/>
  <c r="H8" i="87"/>
  <c r="I12" i="87"/>
  <c r="I13" i="85"/>
  <c r="J13" i="85"/>
  <c r="H12" i="85"/>
  <c r="H7" i="83"/>
  <c r="J11" i="83"/>
  <c r="E20" i="83" s="1"/>
  <c r="J12" i="79"/>
  <c r="I13" i="79"/>
  <c r="H7" i="79"/>
  <c r="J14" i="75"/>
  <c r="H9" i="75"/>
  <c r="I12" i="69"/>
  <c r="I11" i="69"/>
  <c r="J13" i="52"/>
  <c r="J14" i="52"/>
  <c r="I13" i="20"/>
  <c r="J11" i="20"/>
  <c r="E20" i="20" s="1"/>
  <c r="I10" i="20"/>
  <c r="H9" i="20"/>
  <c r="H7" i="20"/>
  <c r="H14" i="20"/>
  <c r="H13" i="20"/>
  <c r="H12" i="20"/>
  <c r="J10" i="20"/>
  <c r="E19" i="20" s="1"/>
  <c r="I9" i="20"/>
  <c r="E18" i="20" s="1"/>
  <c r="I7" i="20"/>
  <c r="H14" i="10"/>
  <c r="H13" i="10"/>
  <c r="H12" i="10"/>
  <c r="I9" i="10"/>
  <c r="E18" i="10" s="1"/>
  <c r="I7" i="10"/>
  <c r="I13" i="10"/>
  <c r="J11" i="10"/>
  <c r="E20" i="10" s="1"/>
  <c r="H9" i="10"/>
  <c r="H7" i="10"/>
  <c r="H7" i="6"/>
  <c r="I8" i="6"/>
  <c r="H11" i="6"/>
  <c r="H9" i="6"/>
  <c r="H14" i="103"/>
  <c r="H10" i="103"/>
  <c r="I9" i="101"/>
  <c r="E18" i="101" s="1"/>
  <c r="J9" i="99"/>
  <c r="H12" i="99"/>
  <c r="H12" i="97"/>
  <c r="I10" i="95"/>
  <c r="I7" i="93"/>
  <c r="I10" i="93"/>
  <c r="H8" i="91"/>
  <c r="H8" i="89"/>
  <c r="I13" i="89"/>
  <c r="J10" i="87"/>
  <c r="E19" i="87" s="1"/>
  <c r="J9" i="85"/>
  <c r="J12" i="83"/>
  <c r="I11" i="83"/>
  <c r="I9" i="79"/>
  <c r="E18" i="79" s="1"/>
  <c r="H13" i="77"/>
  <c r="I12" i="73"/>
  <c r="H11" i="71"/>
  <c r="I13" i="67"/>
  <c r="H10" i="43"/>
  <c r="D6" i="20"/>
  <c r="E7" i="20"/>
  <c r="C9" i="20"/>
  <c r="C10" i="20"/>
  <c r="C12" i="20"/>
  <c r="E6" i="20"/>
  <c r="C8" i="20"/>
  <c r="D9" i="20"/>
  <c r="C11" i="20"/>
  <c r="J14" i="51"/>
  <c r="J13" i="51"/>
  <c r="H14" i="43"/>
  <c r="J12" i="43"/>
  <c r="J10" i="43"/>
  <c r="E19" i="43" s="1"/>
  <c r="I8" i="43"/>
  <c r="I12" i="43"/>
  <c r="H11" i="43"/>
  <c r="J9" i="43"/>
  <c r="H8" i="43"/>
  <c r="I11" i="43"/>
  <c r="I7" i="43"/>
  <c r="H12" i="43"/>
  <c r="I14" i="43"/>
  <c r="J11" i="43"/>
  <c r="E20" i="43" s="1"/>
  <c r="H9" i="43"/>
  <c r="I9" i="43"/>
  <c r="E18" i="43" s="1"/>
  <c r="J14" i="103"/>
  <c r="I10" i="103"/>
  <c r="J13" i="103"/>
  <c r="H9" i="103"/>
  <c r="H11" i="103"/>
  <c r="I13" i="103"/>
  <c r="I9" i="103"/>
  <c r="E18" i="103" s="1"/>
  <c r="H13" i="103"/>
  <c r="H8" i="103"/>
  <c r="J10" i="103"/>
  <c r="E19" i="103" s="1"/>
  <c r="I12" i="101"/>
  <c r="J9" i="101"/>
  <c r="I7" i="101"/>
  <c r="I10" i="101"/>
  <c r="I14" i="101"/>
  <c r="H7" i="101"/>
  <c r="J10" i="101"/>
  <c r="E19" i="101" s="1"/>
  <c r="I13" i="101"/>
  <c r="H10" i="101"/>
  <c r="J12" i="101"/>
  <c r="J14" i="99"/>
  <c r="J13" i="99"/>
  <c r="I9" i="99"/>
  <c r="E18" i="99" s="1"/>
  <c r="I7" i="99"/>
  <c r="I14" i="99"/>
  <c r="J12" i="99"/>
  <c r="H9" i="99"/>
  <c r="J11" i="99"/>
  <c r="E20" i="99" s="1"/>
  <c r="I11" i="99"/>
  <c r="I8" i="99"/>
  <c r="H11" i="99"/>
  <c r="J14" i="97"/>
  <c r="J12" i="97"/>
  <c r="I7" i="97"/>
  <c r="H10" i="97"/>
  <c r="J10" i="97"/>
  <c r="E19" i="97" s="1"/>
  <c r="I8" i="97"/>
  <c r="H11" i="97"/>
  <c r="H8" i="97"/>
  <c r="H13" i="97"/>
  <c r="H9" i="97"/>
  <c r="J11" i="97"/>
  <c r="E20" i="97" s="1"/>
  <c r="J14" i="95"/>
  <c r="H12" i="95"/>
  <c r="I9" i="95"/>
  <c r="E18" i="95" s="1"/>
  <c r="I7" i="95"/>
  <c r="J12" i="95"/>
  <c r="H10" i="95"/>
  <c r="J13" i="95"/>
  <c r="H9" i="95"/>
  <c r="J11" i="95"/>
  <c r="E20" i="95" s="1"/>
  <c r="I8" i="95"/>
  <c r="H11" i="95"/>
  <c r="I14" i="93"/>
  <c r="I12" i="93"/>
  <c r="H11" i="93"/>
  <c r="J9" i="93"/>
  <c r="I8" i="93"/>
  <c r="J14" i="93"/>
  <c r="J12" i="93"/>
  <c r="I9" i="93"/>
  <c r="E18" i="93" s="1"/>
  <c r="H13" i="93"/>
  <c r="I11" i="93"/>
  <c r="H8" i="93"/>
  <c r="I14" i="91"/>
  <c r="J12" i="91"/>
  <c r="J10" i="91"/>
  <c r="E19" i="91" s="1"/>
  <c r="I13" i="91"/>
  <c r="H10" i="91"/>
  <c r="J14" i="91"/>
  <c r="H12" i="91"/>
  <c r="H7" i="91"/>
  <c r="I11" i="91"/>
  <c r="I8" i="91"/>
  <c r="I12" i="91"/>
  <c r="I14" i="89"/>
  <c r="I12" i="89"/>
  <c r="H11" i="89"/>
  <c r="J9" i="89"/>
  <c r="I8" i="89"/>
  <c r="J14" i="89"/>
  <c r="J12" i="89"/>
  <c r="I9" i="89"/>
  <c r="E18" i="89" s="1"/>
  <c r="I11" i="89"/>
  <c r="H14" i="89"/>
  <c r="J10" i="89"/>
  <c r="E19" i="89" s="1"/>
  <c r="J14" i="87"/>
  <c r="I13" i="87"/>
  <c r="H12" i="87"/>
  <c r="H11" i="87"/>
  <c r="H10" i="87"/>
  <c r="H9" i="87"/>
  <c r="I7" i="87"/>
  <c r="H13" i="87"/>
  <c r="I11" i="87"/>
  <c r="H7" i="87"/>
  <c r="I10" i="87"/>
  <c r="I14" i="85"/>
  <c r="I12" i="85"/>
  <c r="I10" i="85"/>
  <c r="H8" i="85"/>
  <c r="J14" i="85"/>
  <c r="J12" i="85"/>
  <c r="J10" i="85"/>
  <c r="E19" i="85" s="1"/>
  <c r="I8" i="85"/>
  <c r="H14" i="85"/>
  <c r="H10" i="85"/>
  <c r="H11" i="85"/>
  <c r="I14" i="83"/>
  <c r="I12" i="83"/>
  <c r="I10" i="83"/>
  <c r="H8" i="83"/>
  <c r="H14" i="83"/>
  <c r="H12" i="83"/>
  <c r="H10" i="83"/>
  <c r="J13" i="83"/>
  <c r="J9" i="83"/>
  <c r="J14" i="83"/>
  <c r="J10" i="83"/>
  <c r="E19" i="83" s="1"/>
  <c r="H14" i="79"/>
  <c r="H13" i="79"/>
  <c r="H12" i="79"/>
  <c r="J13" i="79"/>
  <c r="I11" i="79"/>
  <c r="H10" i="79"/>
  <c r="H8" i="79"/>
  <c r="I14" i="79"/>
  <c r="I12" i="79"/>
  <c r="H9" i="79"/>
  <c r="H11" i="79"/>
  <c r="J9" i="79"/>
  <c r="H14" i="77"/>
  <c r="J12" i="77"/>
  <c r="I9" i="77"/>
  <c r="E18" i="77" s="1"/>
  <c r="I7" i="77"/>
  <c r="I11" i="77"/>
  <c r="H12" i="77"/>
  <c r="H7" i="77"/>
  <c r="I10" i="77"/>
  <c r="I13" i="77"/>
  <c r="J9" i="77"/>
  <c r="I12" i="77"/>
  <c r="I14" i="77"/>
  <c r="H10" i="77"/>
  <c r="J14" i="77"/>
  <c r="J10" i="77"/>
  <c r="E19" i="77" s="1"/>
  <c r="J11" i="77"/>
  <c r="E20" i="77" s="1"/>
  <c r="H11" i="77"/>
  <c r="H14" i="75"/>
  <c r="H13" i="75"/>
  <c r="H12" i="75"/>
  <c r="J10" i="75"/>
  <c r="E19" i="75" s="1"/>
  <c r="I9" i="75"/>
  <c r="E18" i="75" s="1"/>
  <c r="I7" i="75"/>
  <c r="I13" i="75"/>
  <c r="J11" i="75"/>
  <c r="E20" i="75" s="1"/>
  <c r="I8" i="75"/>
  <c r="I10" i="75"/>
  <c r="H7" i="75"/>
  <c r="J13" i="75"/>
  <c r="I11" i="75"/>
  <c r="H8" i="75"/>
  <c r="I12" i="75"/>
  <c r="H11" i="75"/>
  <c r="H14" i="73"/>
  <c r="H13" i="73"/>
  <c r="H12" i="73"/>
  <c r="J10" i="73"/>
  <c r="E19" i="73" s="1"/>
  <c r="I9" i="73"/>
  <c r="E18" i="73" s="1"/>
  <c r="I7" i="73"/>
  <c r="I13" i="73"/>
  <c r="J11" i="73"/>
  <c r="E20" i="73" s="1"/>
  <c r="I8" i="73"/>
  <c r="I10" i="73"/>
  <c r="H7" i="73"/>
  <c r="J14" i="73"/>
  <c r="J12" i="73"/>
  <c r="H10" i="73"/>
  <c r="I14" i="73"/>
  <c r="H9" i="73"/>
  <c r="J9" i="73"/>
  <c r="I13" i="71"/>
  <c r="J11" i="71"/>
  <c r="E20" i="71" s="1"/>
  <c r="I10" i="71"/>
  <c r="H9" i="71"/>
  <c r="H7" i="71"/>
  <c r="J13" i="71"/>
  <c r="H10" i="71"/>
  <c r="H14" i="71"/>
  <c r="H12" i="71"/>
  <c r="J10" i="71"/>
  <c r="E19" i="71" s="1"/>
  <c r="I7" i="71"/>
  <c r="I12" i="71"/>
  <c r="J9" i="71"/>
  <c r="J14" i="71"/>
  <c r="I9" i="71"/>
  <c r="E18" i="71" s="1"/>
  <c r="I11" i="71"/>
  <c r="I13" i="69"/>
  <c r="J11" i="69"/>
  <c r="E20" i="69" s="1"/>
  <c r="I10" i="69"/>
  <c r="H9" i="69"/>
  <c r="H7" i="69"/>
  <c r="H10" i="69"/>
  <c r="H14" i="69"/>
  <c r="H12" i="69"/>
  <c r="J10" i="69"/>
  <c r="E19" i="69" s="1"/>
  <c r="I7" i="69"/>
  <c r="I14" i="69"/>
  <c r="H11" i="69"/>
  <c r="I8" i="69"/>
  <c r="J12" i="69"/>
  <c r="H13" i="69"/>
  <c r="H8" i="69"/>
  <c r="H14" i="67"/>
  <c r="H13" i="67"/>
  <c r="H12" i="67"/>
  <c r="J10" i="67"/>
  <c r="E19" i="67" s="1"/>
  <c r="I9" i="67"/>
  <c r="E18" i="67" s="1"/>
  <c r="I7" i="67"/>
  <c r="I10" i="67"/>
  <c r="H7" i="67"/>
  <c r="J11" i="67"/>
  <c r="E20" i="67" s="1"/>
  <c r="I14" i="67"/>
  <c r="H9" i="67"/>
  <c r="J13" i="67"/>
  <c r="I11" i="67"/>
  <c r="H8" i="67"/>
  <c r="J9" i="67"/>
  <c r="I8" i="67"/>
  <c r="J13" i="54"/>
  <c r="J14" i="54"/>
  <c r="J11" i="6"/>
  <c r="E20" i="6" s="1"/>
  <c r="I13" i="6"/>
  <c r="J12" i="103"/>
  <c r="J9" i="103"/>
  <c r="I11" i="103"/>
  <c r="H12" i="103"/>
  <c r="I7" i="103"/>
  <c r="I8" i="103"/>
  <c r="I11" i="101"/>
  <c r="H12" i="101"/>
  <c r="H9" i="101"/>
  <c r="H13" i="101"/>
  <c r="H11" i="101"/>
  <c r="I12" i="99"/>
  <c r="H13" i="99"/>
  <c r="I10" i="99"/>
  <c r="H10" i="99"/>
  <c r="H8" i="99"/>
  <c r="H14" i="99"/>
  <c r="I10" i="97"/>
  <c r="I11" i="97"/>
  <c r="J9" i="97"/>
  <c r="I9" i="97"/>
  <c r="E18" i="97" s="1"/>
  <c r="J13" i="97"/>
  <c r="I12" i="95"/>
  <c r="I13" i="95"/>
  <c r="H7" i="95"/>
  <c r="I11" i="95"/>
  <c r="H8" i="95"/>
  <c r="H13" i="95"/>
  <c r="J10" i="93"/>
  <c r="E19" i="93" s="1"/>
  <c r="H14" i="93"/>
  <c r="J13" i="93"/>
  <c r="H9" i="93"/>
  <c r="J11" i="93"/>
  <c r="E20" i="93" s="1"/>
  <c r="J13" i="91"/>
  <c r="H13" i="91"/>
  <c r="J9" i="91"/>
  <c r="I7" i="91"/>
  <c r="H9" i="91"/>
  <c r="H14" i="91"/>
  <c r="H12" i="89"/>
  <c r="H13" i="89"/>
  <c r="J13" i="89"/>
  <c r="H9" i="89"/>
  <c r="J11" i="89"/>
  <c r="E20" i="89" s="1"/>
  <c r="I8" i="87"/>
  <c r="I9" i="87"/>
  <c r="E18" i="87" s="1"/>
  <c r="I14" i="87"/>
  <c r="J9" i="87"/>
  <c r="J11" i="87"/>
  <c r="E20" i="87" s="1"/>
  <c r="H14" i="87"/>
  <c r="H13" i="85"/>
  <c r="I7" i="85"/>
  <c r="J11" i="85"/>
  <c r="E20" i="85" s="1"/>
  <c r="H7" i="85"/>
  <c r="I11" i="85"/>
  <c r="I8" i="83"/>
  <c r="I7" i="83"/>
  <c r="H9" i="83"/>
  <c r="H13" i="83"/>
  <c r="I9" i="83"/>
  <c r="E18" i="83" s="1"/>
  <c r="I13" i="83"/>
  <c r="I10" i="79"/>
  <c r="J11" i="79"/>
  <c r="E20" i="79" s="1"/>
  <c r="I7" i="79"/>
  <c r="J10" i="79"/>
  <c r="E19" i="79" s="1"/>
  <c r="J14" i="79"/>
  <c r="H9" i="77"/>
  <c r="H8" i="77"/>
  <c r="J9" i="75"/>
  <c r="I14" i="75"/>
  <c r="J12" i="75"/>
  <c r="H11" i="73"/>
  <c r="H8" i="73"/>
  <c r="J13" i="73"/>
  <c r="H13" i="71"/>
  <c r="I8" i="71"/>
  <c r="I14" i="71"/>
  <c r="I9" i="69"/>
  <c r="E18" i="69" s="1"/>
  <c r="J9" i="69"/>
  <c r="I12" i="67"/>
  <c r="H11" i="67"/>
  <c r="J12" i="67"/>
  <c r="H7" i="43"/>
  <c r="H13" i="43"/>
  <c r="I13" i="43"/>
  <c r="C34" i="18"/>
  <c r="K26" i="5"/>
  <c r="C16" i="18" s="1"/>
  <c r="C12" i="18" s="1"/>
  <c r="I32" i="7"/>
  <c r="H32" i="7"/>
  <c r="J31" i="7"/>
  <c r="H30" i="7"/>
  <c r="J28" i="7"/>
  <c r="E37" i="7" s="1"/>
  <c r="I27" i="7"/>
  <c r="E36" i="7" s="1"/>
  <c r="H26" i="7"/>
  <c r="I25" i="7"/>
  <c r="J30" i="7"/>
  <c r="I29" i="7"/>
  <c r="H28" i="7"/>
  <c r="J32" i="7"/>
  <c r="H31" i="7"/>
  <c r="I26" i="7"/>
  <c r="J27" i="7"/>
  <c r="H29" i="7"/>
  <c r="I30" i="7"/>
  <c r="H25" i="7"/>
  <c r="H27" i="7"/>
  <c r="I28" i="7"/>
  <c r="J29" i="7"/>
  <c r="E38" i="7" s="1"/>
  <c r="I31" i="7"/>
  <c r="H32" i="8"/>
  <c r="H31" i="8"/>
  <c r="J30" i="8"/>
  <c r="H30" i="8"/>
  <c r="I29" i="8"/>
  <c r="J28" i="8"/>
  <c r="E37" i="8" s="1"/>
  <c r="H28" i="8"/>
  <c r="I27" i="8"/>
  <c r="E36" i="8" s="1"/>
  <c r="H26" i="8"/>
  <c r="I25" i="8"/>
  <c r="H29" i="8"/>
  <c r="I28" i="8"/>
  <c r="J27" i="8"/>
  <c r="H25" i="8"/>
  <c r="I32" i="8"/>
  <c r="I30" i="8"/>
  <c r="H27" i="8"/>
  <c r="I31" i="8"/>
  <c r="I26" i="8"/>
  <c r="J29" i="8"/>
  <c r="E38" i="8" s="1"/>
  <c r="J32" i="102"/>
  <c r="H32" i="102"/>
  <c r="J31" i="102"/>
  <c r="H31" i="102"/>
  <c r="J30" i="102"/>
  <c r="H30" i="102"/>
  <c r="I29" i="102"/>
  <c r="J28" i="102"/>
  <c r="E37" i="102" s="1"/>
  <c r="H28" i="102"/>
  <c r="I27" i="102"/>
  <c r="E36" i="102" s="1"/>
  <c r="H26" i="102"/>
  <c r="I25" i="102"/>
  <c r="H29" i="102"/>
  <c r="I28" i="102"/>
  <c r="J27" i="102"/>
  <c r="H25" i="102"/>
  <c r="I31" i="102"/>
  <c r="J29" i="102"/>
  <c r="E38" i="102" s="1"/>
  <c r="I26" i="102"/>
  <c r="I32" i="102"/>
  <c r="I30" i="102"/>
  <c r="H27" i="102"/>
  <c r="J32" i="100"/>
  <c r="H32" i="100"/>
  <c r="J31" i="100"/>
  <c r="H31" i="100"/>
  <c r="J30" i="100"/>
  <c r="H30" i="100"/>
  <c r="I29" i="100"/>
  <c r="J28" i="100"/>
  <c r="E37" i="100" s="1"/>
  <c r="H28" i="100"/>
  <c r="I27" i="100"/>
  <c r="E36" i="100" s="1"/>
  <c r="H26" i="100"/>
  <c r="I25" i="100"/>
  <c r="H29" i="100"/>
  <c r="I28" i="100"/>
  <c r="J27" i="100"/>
  <c r="H25" i="100"/>
  <c r="I32" i="100"/>
  <c r="I30" i="100"/>
  <c r="H27" i="100"/>
  <c r="J29" i="100"/>
  <c r="E38" i="100" s="1"/>
  <c r="I26" i="100"/>
  <c r="I31" i="100"/>
  <c r="I32" i="98"/>
  <c r="I31" i="98"/>
  <c r="I30" i="98"/>
  <c r="J29" i="98"/>
  <c r="E38" i="98" s="1"/>
  <c r="H29" i="98"/>
  <c r="I28" i="98"/>
  <c r="J27" i="98"/>
  <c r="H27" i="98"/>
  <c r="I26" i="98"/>
  <c r="H25" i="98"/>
  <c r="J32" i="98"/>
  <c r="J31" i="98"/>
  <c r="J30" i="98"/>
  <c r="H28" i="98"/>
  <c r="I27" i="98"/>
  <c r="E36" i="98" s="1"/>
  <c r="H32" i="98"/>
  <c r="H30" i="98"/>
  <c r="J28" i="98"/>
  <c r="E37" i="98" s="1"/>
  <c r="I25" i="98"/>
  <c r="I29" i="98"/>
  <c r="H26" i="98"/>
  <c r="H31" i="98"/>
  <c r="I32" i="96"/>
  <c r="I31" i="96"/>
  <c r="I30" i="96"/>
  <c r="J29" i="96"/>
  <c r="E38" i="96" s="1"/>
  <c r="H29" i="96"/>
  <c r="I28" i="96"/>
  <c r="J27" i="96"/>
  <c r="H27" i="96"/>
  <c r="I26" i="96"/>
  <c r="H25" i="96"/>
  <c r="J32" i="96"/>
  <c r="J31" i="96"/>
  <c r="J30" i="96"/>
  <c r="H28" i="96"/>
  <c r="I27" i="96"/>
  <c r="E36" i="96" s="1"/>
  <c r="H31" i="96"/>
  <c r="I29" i="96"/>
  <c r="H26" i="96"/>
  <c r="H30" i="96"/>
  <c r="H32" i="96"/>
  <c r="I25" i="96"/>
  <c r="J28" i="96"/>
  <c r="E37" i="96" s="1"/>
  <c r="I32" i="94"/>
  <c r="H32" i="94"/>
  <c r="J31" i="94"/>
  <c r="H30" i="94"/>
  <c r="J28" i="94"/>
  <c r="E37" i="94" s="1"/>
  <c r="I27" i="94"/>
  <c r="E36" i="94" s="1"/>
  <c r="H26" i="94"/>
  <c r="I25" i="94"/>
  <c r="J30" i="94"/>
  <c r="I29" i="94"/>
  <c r="H28" i="94"/>
  <c r="J32" i="94"/>
  <c r="H31" i="94"/>
  <c r="I26" i="94"/>
  <c r="J27" i="94"/>
  <c r="H29" i="94"/>
  <c r="I30" i="94"/>
  <c r="H25" i="94"/>
  <c r="H27" i="94"/>
  <c r="I28" i="94"/>
  <c r="J29" i="94"/>
  <c r="E38" i="94" s="1"/>
  <c r="I31" i="94"/>
  <c r="J32" i="92"/>
  <c r="H32" i="92"/>
  <c r="J31" i="92"/>
  <c r="H31" i="92"/>
  <c r="J30" i="92"/>
  <c r="H30" i="92"/>
  <c r="I29" i="92"/>
  <c r="J28" i="92"/>
  <c r="E37" i="92" s="1"/>
  <c r="H28" i="92"/>
  <c r="I27" i="92"/>
  <c r="E36" i="92" s="1"/>
  <c r="H26" i="92"/>
  <c r="I25" i="92"/>
  <c r="I32" i="92"/>
  <c r="I31" i="92"/>
  <c r="I30" i="92"/>
  <c r="J29" i="92"/>
  <c r="E38" i="92" s="1"/>
  <c r="H27" i="92"/>
  <c r="I26" i="92"/>
  <c r="H29" i="92"/>
  <c r="J27" i="92"/>
  <c r="I28" i="92"/>
  <c r="H25" i="92"/>
  <c r="J32" i="90"/>
  <c r="H32" i="90"/>
  <c r="J31" i="90"/>
  <c r="H31" i="90"/>
  <c r="J30" i="90"/>
  <c r="H30" i="90"/>
  <c r="I29" i="90"/>
  <c r="J28" i="90"/>
  <c r="E37" i="90" s="1"/>
  <c r="H28" i="90"/>
  <c r="I27" i="90"/>
  <c r="E36" i="90" s="1"/>
  <c r="H26" i="90"/>
  <c r="I25" i="90"/>
  <c r="I32" i="90"/>
  <c r="I31" i="90"/>
  <c r="I30" i="90"/>
  <c r="J29" i="90"/>
  <c r="E38" i="90" s="1"/>
  <c r="H27" i="90"/>
  <c r="I26" i="90"/>
  <c r="I28" i="90"/>
  <c r="H25" i="90"/>
  <c r="H29" i="90"/>
  <c r="J27" i="90"/>
  <c r="I32" i="88"/>
  <c r="H32" i="88"/>
  <c r="J31" i="88"/>
  <c r="H30" i="88"/>
  <c r="J28" i="88"/>
  <c r="E37" i="88" s="1"/>
  <c r="I27" i="88"/>
  <c r="E36" i="88" s="1"/>
  <c r="H26" i="88"/>
  <c r="I25" i="88"/>
  <c r="J32" i="88"/>
  <c r="H31" i="88"/>
  <c r="J30" i="88"/>
  <c r="H28" i="88"/>
  <c r="I29" i="88"/>
  <c r="I26" i="88"/>
  <c r="J27" i="88"/>
  <c r="H29" i="88"/>
  <c r="I30" i="88"/>
  <c r="H25" i="88"/>
  <c r="H27" i="88"/>
  <c r="I28" i="88"/>
  <c r="J29" i="88"/>
  <c r="E38" i="88" s="1"/>
  <c r="I31" i="88"/>
  <c r="J32" i="86"/>
  <c r="H32" i="86"/>
  <c r="H31" i="86"/>
  <c r="J30" i="86"/>
  <c r="H30" i="86"/>
  <c r="I29" i="86"/>
  <c r="J28" i="86"/>
  <c r="E37" i="86" s="1"/>
  <c r="H28" i="86"/>
  <c r="I27" i="86"/>
  <c r="E36" i="86" s="1"/>
  <c r="H26" i="86"/>
  <c r="I25" i="86"/>
  <c r="H29" i="86"/>
  <c r="I28" i="86"/>
  <c r="J27" i="86"/>
  <c r="H25" i="86"/>
  <c r="I31" i="86"/>
  <c r="J29" i="86"/>
  <c r="E38" i="86" s="1"/>
  <c r="I26" i="86"/>
  <c r="I30" i="86"/>
  <c r="H27" i="86"/>
  <c r="I32" i="86"/>
  <c r="I32" i="84"/>
  <c r="H32" i="84"/>
  <c r="H30" i="84"/>
  <c r="J28" i="84"/>
  <c r="E37" i="84" s="1"/>
  <c r="I27" i="84"/>
  <c r="E36" i="84" s="1"/>
  <c r="H26" i="84"/>
  <c r="I25" i="84"/>
  <c r="J30" i="84"/>
  <c r="I29" i="84"/>
  <c r="H28" i="84"/>
  <c r="H31" i="84"/>
  <c r="I26" i="84"/>
  <c r="J27" i="84"/>
  <c r="H29" i="84"/>
  <c r="I30" i="84"/>
  <c r="H25" i="84"/>
  <c r="H27" i="84"/>
  <c r="I28" i="84"/>
  <c r="J29" i="84"/>
  <c r="E38" i="84" s="1"/>
  <c r="I31" i="84"/>
  <c r="I32" i="82"/>
  <c r="H32" i="82"/>
  <c r="H30" i="82"/>
  <c r="E37" i="82"/>
  <c r="I27" i="82"/>
  <c r="E36" i="82" s="1"/>
  <c r="H26" i="82"/>
  <c r="I25" i="82"/>
  <c r="H31" i="82"/>
  <c r="J30" i="82"/>
  <c r="I29" i="82"/>
  <c r="I26" i="82"/>
  <c r="J27" i="82"/>
  <c r="H29" i="82"/>
  <c r="I30" i="82"/>
  <c r="H25" i="82"/>
  <c r="H27" i="82"/>
  <c r="J29" i="82"/>
  <c r="E38" i="82" s="1"/>
  <c r="I31" i="82"/>
  <c r="I32" i="80"/>
  <c r="H32" i="80"/>
  <c r="J31" i="80"/>
  <c r="H30" i="80"/>
  <c r="J28" i="80"/>
  <c r="E37" i="80" s="1"/>
  <c r="I27" i="80"/>
  <c r="E36" i="80" s="1"/>
  <c r="H26" i="80"/>
  <c r="I25" i="80"/>
  <c r="J30" i="80"/>
  <c r="I29" i="80"/>
  <c r="H28" i="80"/>
  <c r="H31" i="80"/>
  <c r="J32" i="80"/>
  <c r="I26" i="80"/>
  <c r="J27" i="80"/>
  <c r="H29" i="80"/>
  <c r="I30" i="80"/>
  <c r="H25" i="80"/>
  <c r="H27" i="80"/>
  <c r="I28" i="80"/>
  <c r="J29" i="80"/>
  <c r="E38" i="80" s="1"/>
  <c r="I31" i="80"/>
  <c r="H31" i="78"/>
  <c r="J30" i="78"/>
  <c r="I29" i="78"/>
  <c r="H28" i="78"/>
  <c r="I32" i="78"/>
  <c r="H30" i="78"/>
  <c r="H32" i="78"/>
  <c r="I27" i="78"/>
  <c r="E36" i="78" s="1"/>
  <c r="I25" i="78"/>
  <c r="H26" i="78"/>
  <c r="J28" i="78"/>
  <c r="E37" i="78" s="1"/>
  <c r="H25" i="78"/>
  <c r="H27" i="78"/>
  <c r="I28" i="78"/>
  <c r="J29" i="78"/>
  <c r="E38" i="78" s="1"/>
  <c r="I31" i="78"/>
  <c r="I26" i="78"/>
  <c r="J27" i="78"/>
  <c r="H29" i="78"/>
  <c r="I30" i="78"/>
  <c r="I32" i="76"/>
  <c r="H32" i="76"/>
  <c r="J31" i="76"/>
  <c r="H30" i="76"/>
  <c r="J28" i="76"/>
  <c r="E37" i="76" s="1"/>
  <c r="I27" i="76"/>
  <c r="E36" i="76" s="1"/>
  <c r="H26" i="76"/>
  <c r="I25" i="76"/>
  <c r="J32" i="76"/>
  <c r="H31" i="76"/>
  <c r="J30" i="76"/>
  <c r="H28" i="76"/>
  <c r="I29" i="76"/>
  <c r="I26" i="76"/>
  <c r="J27" i="76"/>
  <c r="H29" i="76"/>
  <c r="I30" i="76"/>
  <c r="H25" i="76"/>
  <c r="H27" i="76"/>
  <c r="I28" i="76"/>
  <c r="J29" i="76"/>
  <c r="E38" i="76" s="1"/>
  <c r="I31" i="76"/>
  <c r="I32" i="74"/>
  <c r="I31" i="74"/>
  <c r="I30" i="74"/>
  <c r="J29" i="74"/>
  <c r="E38" i="74" s="1"/>
  <c r="H29" i="74"/>
  <c r="I28" i="74"/>
  <c r="J27" i="74"/>
  <c r="H27" i="74"/>
  <c r="I26" i="74"/>
  <c r="H25" i="74"/>
  <c r="H32" i="74"/>
  <c r="H31" i="74"/>
  <c r="H30" i="74"/>
  <c r="I29" i="74"/>
  <c r="J28" i="74"/>
  <c r="E37" i="74" s="1"/>
  <c r="H26" i="74"/>
  <c r="I25" i="74"/>
  <c r="J31" i="74"/>
  <c r="H28" i="74"/>
  <c r="J32" i="74"/>
  <c r="J30" i="74"/>
  <c r="I27" i="74"/>
  <c r="E36" i="74" s="1"/>
  <c r="H31" i="72"/>
  <c r="J30" i="72"/>
  <c r="I29" i="72"/>
  <c r="H28" i="72"/>
  <c r="H32" i="72"/>
  <c r="J28" i="72"/>
  <c r="E37" i="72" s="1"/>
  <c r="I27" i="72"/>
  <c r="E36" i="72" s="1"/>
  <c r="H26" i="72"/>
  <c r="I32" i="72"/>
  <c r="H30" i="72"/>
  <c r="I25" i="72"/>
  <c r="H25" i="72"/>
  <c r="H27" i="72"/>
  <c r="I28" i="72"/>
  <c r="J29" i="72"/>
  <c r="E38" i="72" s="1"/>
  <c r="I31" i="72"/>
  <c r="I26" i="72"/>
  <c r="J27" i="72"/>
  <c r="H29" i="72"/>
  <c r="I30" i="72"/>
  <c r="J32" i="70"/>
  <c r="H32" i="70"/>
  <c r="J31" i="70"/>
  <c r="H31" i="70"/>
  <c r="J30" i="70"/>
  <c r="H30" i="70"/>
  <c r="I29" i="70"/>
  <c r="J28" i="70"/>
  <c r="E37" i="70" s="1"/>
  <c r="H28" i="70"/>
  <c r="I27" i="70"/>
  <c r="E36" i="70" s="1"/>
  <c r="H26" i="70"/>
  <c r="I25" i="70"/>
  <c r="I32" i="70"/>
  <c r="I31" i="70"/>
  <c r="I30" i="70"/>
  <c r="J29" i="70"/>
  <c r="E38" i="70" s="1"/>
  <c r="H27" i="70"/>
  <c r="I26" i="70"/>
  <c r="H29" i="70"/>
  <c r="J27" i="70"/>
  <c r="I28" i="70"/>
  <c r="H25" i="70"/>
  <c r="I32" i="68"/>
  <c r="H32" i="68"/>
  <c r="J31" i="68"/>
  <c r="H30" i="68"/>
  <c r="J28" i="68"/>
  <c r="E37" i="68" s="1"/>
  <c r="I27" i="68"/>
  <c r="E36" i="68" s="1"/>
  <c r="H26" i="68"/>
  <c r="I25" i="68"/>
  <c r="J32" i="68"/>
  <c r="H31" i="68"/>
  <c r="I29" i="68"/>
  <c r="J30" i="68"/>
  <c r="H28" i="68"/>
  <c r="I26" i="68"/>
  <c r="J27" i="68"/>
  <c r="H29" i="68"/>
  <c r="I30" i="68"/>
  <c r="H25" i="68"/>
  <c r="H27" i="68"/>
  <c r="I28" i="68"/>
  <c r="J29" i="68"/>
  <c r="E38" i="68" s="1"/>
  <c r="I31" i="68"/>
  <c r="I32" i="66"/>
  <c r="I31" i="66"/>
  <c r="I30" i="66"/>
  <c r="J29" i="66"/>
  <c r="E38" i="66" s="1"/>
  <c r="H29" i="66"/>
  <c r="I28" i="66"/>
  <c r="J27" i="66"/>
  <c r="H27" i="66"/>
  <c r="I26" i="66"/>
  <c r="H25" i="66"/>
  <c r="H32" i="66"/>
  <c r="H31" i="66"/>
  <c r="H30" i="66"/>
  <c r="I29" i="66"/>
  <c r="J28" i="66"/>
  <c r="E37" i="66" s="1"/>
  <c r="H26" i="66"/>
  <c r="I25" i="66"/>
  <c r="J32" i="66"/>
  <c r="J30" i="66"/>
  <c r="I27" i="66"/>
  <c r="E36" i="66" s="1"/>
  <c r="J31" i="66"/>
  <c r="H28" i="66"/>
  <c r="H32" i="64"/>
  <c r="H31" i="64"/>
  <c r="J30" i="64"/>
  <c r="H30" i="64"/>
  <c r="I29" i="64"/>
  <c r="J28" i="64"/>
  <c r="E37" i="64" s="1"/>
  <c r="H28" i="64"/>
  <c r="I27" i="64"/>
  <c r="E36" i="64" s="1"/>
  <c r="H26" i="64"/>
  <c r="I25" i="64"/>
  <c r="H29" i="64"/>
  <c r="I28" i="64"/>
  <c r="J27" i="64"/>
  <c r="H25" i="64"/>
  <c r="I31" i="64"/>
  <c r="J29" i="64"/>
  <c r="E38" i="64" s="1"/>
  <c r="I26" i="64"/>
  <c r="I32" i="64"/>
  <c r="I30" i="64"/>
  <c r="H27" i="64"/>
  <c r="J32" i="62"/>
  <c r="H32" i="62"/>
  <c r="J31" i="62"/>
  <c r="H31" i="62"/>
  <c r="J30" i="62"/>
  <c r="H30" i="62"/>
  <c r="I29" i="62"/>
  <c r="J28" i="62"/>
  <c r="E37" i="62" s="1"/>
  <c r="H28" i="62"/>
  <c r="I27" i="62"/>
  <c r="E36" i="62" s="1"/>
  <c r="H26" i="62"/>
  <c r="I25" i="62"/>
  <c r="H29" i="62"/>
  <c r="I28" i="62"/>
  <c r="J27" i="62"/>
  <c r="H25" i="62"/>
  <c r="I32" i="62"/>
  <c r="I30" i="62"/>
  <c r="H27" i="62"/>
  <c r="I31" i="62"/>
  <c r="J29" i="62"/>
  <c r="E38" i="62" s="1"/>
  <c r="I26" i="62"/>
  <c r="I32" i="59"/>
  <c r="I31" i="59"/>
  <c r="I30" i="59"/>
  <c r="I29" i="59"/>
  <c r="I28" i="59"/>
  <c r="I27" i="59"/>
  <c r="E36" i="59" s="1"/>
  <c r="H26" i="59"/>
  <c r="H25" i="59"/>
  <c r="H32" i="59"/>
  <c r="H31" i="59"/>
  <c r="H30" i="59"/>
  <c r="H29" i="59"/>
  <c r="H28" i="59"/>
  <c r="H27" i="59"/>
  <c r="J31" i="59"/>
  <c r="J29" i="59"/>
  <c r="E38" i="59" s="1"/>
  <c r="J27" i="59"/>
  <c r="I25" i="59"/>
  <c r="J32" i="59"/>
  <c r="J30" i="59"/>
  <c r="J28" i="59"/>
  <c r="E37" i="59" s="1"/>
  <c r="I26" i="59"/>
  <c r="I32" i="57"/>
  <c r="I31" i="57"/>
  <c r="I30" i="57"/>
  <c r="J29" i="57"/>
  <c r="E38" i="57" s="1"/>
  <c r="H29" i="57"/>
  <c r="I28" i="57"/>
  <c r="J27" i="57"/>
  <c r="H27" i="57"/>
  <c r="I26" i="57"/>
  <c r="H25" i="57"/>
  <c r="J32" i="57"/>
  <c r="J31" i="57"/>
  <c r="J30" i="57"/>
  <c r="H28" i="57"/>
  <c r="I27" i="57"/>
  <c r="E36" i="57" s="1"/>
  <c r="H32" i="57"/>
  <c r="H30" i="57"/>
  <c r="J28" i="57"/>
  <c r="E37" i="57" s="1"/>
  <c r="I25" i="57"/>
  <c r="H31" i="57"/>
  <c r="I29" i="57"/>
  <c r="H26" i="57"/>
  <c r="J32" i="55"/>
  <c r="H32" i="55"/>
  <c r="J31" i="55"/>
  <c r="H31" i="55"/>
  <c r="J30" i="55"/>
  <c r="H30" i="55"/>
  <c r="I29" i="55"/>
  <c r="J28" i="55"/>
  <c r="E37" i="55" s="1"/>
  <c r="H28" i="55"/>
  <c r="I27" i="55"/>
  <c r="E36" i="55" s="1"/>
  <c r="H26" i="55"/>
  <c r="I25" i="55"/>
  <c r="I32" i="55"/>
  <c r="I31" i="55"/>
  <c r="I30" i="55"/>
  <c r="J29" i="55"/>
  <c r="E38" i="55" s="1"/>
  <c r="H27" i="55"/>
  <c r="I26" i="55"/>
  <c r="H29" i="55"/>
  <c r="J27" i="55"/>
  <c r="I28" i="55"/>
  <c r="H25" i="55"/>
  <c r="J32" i="53"/>
  <c r="H31" i="53"/>
  <c r="J30" i="53"/>
  <c r="I29" i="53"/>
  <c r="H28" i="53"/>
  <c r="H32" i="53"/>
  <c r="J28" i="53"/>
  <c r="E37" i="53" s="1"/>
  <c r="I27" i="53"/>
  <c r="E36" i="53" s="1"/>
  <c r="H26" i="53"/>
  <c r="I25" i="53"/>
  <c r="J31" i="53"/>
  <c r="I32" i="53"/>
  <c r="H30" i="53"/>
  <c r="H25" i="53"/>
  <c r="H27" i="53"/>
  <c r="I28" i="53"/>
  <c r="J29" i="53"/>
  <c r="E38" i="53" s="1"/>
  <c r="I31" i="53"/>
  <c r="I26" i="53"/>
  <c r="J27" i="53"/>
  <c r="H29" i="53"/>
  <c r="I30" i="53"/>
  <c r="J32" i="51"/>
  <c r="H32" i="51"/>
  <c r="J31" i="51"/>
  <c r="H31" i="51"/>
  <c r="J30" i="51"/>
  <c r="H30" i="51"/>
  <c r="I29" i="51"/>
  <c r="J28" i="51"/>
  <c r="E37" i="51" s="1"/>
  <c r="H28" i="51"/>
  <c r="I27" i="51"/>
  <c r="E36" i="51" s="1"/>
  <c r="H26" i="51"/>
  <c r="I25" i="51"/>
  <c r="H29" i="51"/>
  <c r="I28" i="51"/>
  <c r="J27" i="51"/>
  <c r="H25" i="51"/>
  <c r="I32" i="51"/>
  <c r="I30" i="51"/>
  <c r="H27" i="51"/>
  <c r="I31" i="51"/>
  <c r="J29" i="51"/>
  <c r="E38" i="51" s="1"/>
  <c r="I26" i="51"/>
  <c r="J32" i="49"/>
  <c r="H32" i="49"/>
  <c r="J31" i="49"/>
  <c r="H31" i="49"/>
  <c r="J30" i="49"/>
  <c r="H30" i="49"/>
  <c r="I29" i="49"/>
  <c r="J28" i="49"/>
  <c r="E37" i="49" s="1"/>
  <c r="H28" i="49"/>
  <c r="I27" i="49"/>
  <c r="E36" i="49" s="1"/>
  <c r="H26" i="49"/>
  <c r="I25" i="49"/>
  <c r="H29" i="49"/>
  <c r="I28" i="49"/>
  <c r="J27" i="49"/>
  <c r="H25" i="49"/>
  <c r="I31" i="49"/>
  <c r="J29" i="49"/>
  <c r="E38" i="49" s="1"/>
  <c r="I26" i="49"/>
  <c r="I32" i="49"/>
  <c r="I30" i="49"/>
  <c r="H27" i="49"/>
  <c r="J32" i="47"/>
  <c r="H32" i="47"/>
  <c r="J31" i="47"/>
  <c r="H31" i="47"/>
  <c r="J30" i="47"/>
  <c r="H30" i="47"/>
  <c r="I29" i="47"/>
  <c r="J28" i="47"/>
  <c r="E37" i="47" s="1"/>
  <c r="H28" i="47"/>
  <c r="I27" i="47"/>
  <c r="E36" i="47" s="1"/>
  <c r="H26" i="47"/>
  <c r="I25" i="47"/>
  <c r="H29" i="47"/>
  <c r="I28" i="47"/>
  <c r="J27" i="47"/>
  <c r="H25" i="47"/>
  <c r="I32" i="47"/>
  <c r="I30" i="47"/>
  <c r="H27" i="47"/>
  <c r="I31" i="47"/>
  <c r="J29" i="47"/>
  <c r="E38" i="47" s="1"/>
  <c r="I26" i="47"/>
  <c r="J32" i="45"/>
  <c r="H32" i="45"/>
  <c r="J31" i="45"/>
  <c r="H31" i="45"/>
  <c r="J30" i="45"/>
  <c r="H30" i="45"/>
  <c r="I29" i="45"/>
  <c r="J28" i="45"/>
  <c r="E37" i="45" s="1"/>
  <c r="H28" i="45"/>
  <c r="I27" i="45"/>
  <c r="E36" i="45" s="1"/>
  <c r="H29" i="45"/>
  <c r="I28" i="45"/>
  <c r="J27" i="45"/>
  <c r="I26" i="45"/>
  <c r="H25" i="45"/>
  <c r="I31" i="45"/>
  <c r="J29" i="45"/>
  <c r="E38" i="45" s="1"/>
  <c r="I32" i="45"/>
  <c r="I30" i="45"/>
  <c r="H27" i="45"/>
  <c r="H26" i="45"/>
  <c r="I25" i="45"/>
  <c r="H31" i="43"/>
  <c r="J30" i="43"/>
  <c r="I29" i="43"/>
  <c r="H28" i="43"/>
  <c r="I32" i="43"/>
  <c r="H30" i="43"/>
  <c r="H32" i="43"/>
  <c r="J28" i="43"/>
  <c r="E37" i="43" s="1"/>
  <c r="I27" i="43"/>
  <c r="E36" i="43" s="1"/>
  <c r="H26" i="43"/>
  <c r="I25" i="43"/>
  <c r="I26" i="43"/>
  <c r="J27" i="43"/>
  <c r="H29" i="43"/>
  <c r="I30" i="43"/>
  <c r="H25" i="43"/>
  <c r="H27" i="43"/>
  <c r="I28" i="43"/>
  <c r="J29" i="43"/>
  <c r="E38" i="43" s="1"/>
  <c r="I31" i="43"/>
  <c r="J32" i="41"/>
  <c r="H32" i="41"/>
  <c r="J31" i="41"/>
  <c r="H31" i="41"/>
  <c r="J30" i="41"/>
  <c r="H30" i="41"/>
  <c r="I29" i="41"/>
  <c r="J28" i="41"/>
  <c r="E37" i="41" s="1"/>
  <c r="H28" i="41"/>
  <c r="I27" i="41"/>
  <c r="E36" i="41" s="1"/>
  <c r="H26" i="41"/>
  <c r="I25" i="41"/>
  <c r="I32" i="41"/>
  <c r="I31" i="41"/>
  <c r="I30" i="41"/>
  <c r="J29" i="41"/>
  <c r="E38" i="41" s="1"/>
  <c r="H27" i="41"/>
  <c r="I26" i="41"/>
  <c r="H29" i="41"/>
  <c r="I28" i="41"/>
  <c r="J27" i="41"/>
  <c r="H25" i="41"/>
  <c r="J32" i="39"/>
  <c r="H32" i="39"/>
  <c r="J31" i="39"/>
  <c r="H31" i="39"/>
  <c r="J30" i="39"/>
  <c r="H30" i="39"/>
  <c r="I29" i="39"/>
  <c r="J28" i="39"/>
  <c r="E37" i="39" s="1"/>
  <c r="H28" i="39"/>
  <c r="I27" i="39"/>
  <c r="E36" i="39" s="1"/>
  <c r="H26" i="39"/>
  <c r="I25" i="39"/>
  <c r="I32" i="39"/>
  <c r="I31" i="39"/>
  <c r="I30" i="39"/>
  <c r="J29" i="39"/>
  <c r="E38" i="39" s="1"/>
  <c r="H27" i="39"/>
  <c r="I26" i="39"/>
  <c r="H29" i="39"/>
  <c r="I28" i="39"/>
  <c r="J27" i="39"/>
  <c r="H25" i="39"/>
  <c r="J32" i="37"/>
  <c r="H32" i="37"/>
  <c r="J31" i="37"/>
  <c r="H31" i="37"/>
  <c r="J30" i="37"/>
  <c r="H30" i="37"/>
  <c r="I29" i="37"/>
  <c r="J28" i="37"/>
  <c r="E37" i="37" s="1"/>
  <c r="H28" i="37"/>
  <c r="I27" i="37"/>
  <c r="E36" i="37" s="1"/>
  <c r="H26" i="37"/>
  <c r="I25" i="37"/>
  <c r="I32" i="37"/>
  <c r="I31" i="37"/>
  <c r="I30" i="37"/>
  <c r="J29" i="37"/>
  <c r="E38" i="37" s="1"/>
  <c r="H27" i="37"/>
  <c r="I26" i="37"/>
  <c r="H29" i="37"/>
  <c r="I28" i="37"/>
  <c r="J27" i="37"/>
  <c r="H25" i="37"/>
  <c r="I32" i="35"/>
  <c r="H32" i="35"/>
  <c r="J31" i="35"/>
  <c r="H30" i="35"/>
  <c r="J28" i="35"/>
  <c r="E37" i="35" s="1"/>
  <c r="I27" i="35"/>
  <c r="E36" i="35" s="1"/>
  <c r="H26" i="35"/>
  <c r="I25" i="35"/>
  <c r="J32" i="35"/>
  <c r="H31" i="35"/>
  <c r="J30" i="35"/>
  <c r="I29" i="35"/>
  <c r="H28" i="35"/>
  <c r="H25" i="35"/>
  <c r="H27" i="35"/>
  <c r="I28" i="35"/>
  <c r="J29" i="35"/>
  <c r="E38" i="35" s="1"/>
  <c r="I31" i="35"/>
  <c r="I26" i="35"/>
  <c r="J27" i="35"/>
  <c r="H29" i="35"/>
  <c r="I30" i="35"/>
  <c r="J32" i="33"/>
  <c r="H31" i="33"/>
  <c r="J30" i="33"/>
  <c r="I29" i="33"/>
  <c r="H28" i="33"/>
  <c r="H32" i="33"/>
  <c r="J28" i="33"/>
  <c r="E37" i="33" s="1"/>
  <c r="I27" i="33"/>
  <c r="E36" i="33" s="1"/>
  <c r="H26" i="33"/>
  <c r="I25" i="33"/>
  <c r="I32" i="33"/>
  <c r="J31" i="33"/>
  <c r="H30" i="33"/>
  <c r="I26" i="33"/>
  <c r="J27" i="33"/>
  <c r="H29" i="33"/>
  <c r="I30" i="33"/>
  <c r="H25" i="33"/>
  <c r="H27" i="33"/>
  <c r="I28" i="33"/>
  <c r="J29" i="33"/>
  <c r="E38" i="33" s="1"/>
  <c r="I31" i="33"/>
  <c r="J32" i="31"/>
  <c r="H31" i="31"/>
  <c r="J30" i="31"/>
  <c r="I29" i="31"/>
  <c r="H28" i="31"/>
  <c r="I32" i="31"/>
  <c r="J31" i="31"/>
  <c r="H30" i="31"/>
  <c r="H32" i="31"/>
  <c r="J28" i="31"/>
  <c r="E37" i="31" s="1"/>
  <c r="I27" i="31"/>
  <c r="E36" i="31" s="1"/>
  <c r="H26" i="31"/>
  <c r="I25" i="31"/>
  <c r="I26" i="31"/>
  <c r="J27" i="31"/>
  <c r="H29" i="31"/>
  <c r="I30" i="31"/>
  <c r="H25" i="31"/>
  <c r="H27" i="31"/>
  <c r="I28" i="31"/>
  <c r="J29" i="31"/>
  <c r="E38" i="31" s="1"/>
  <c r="I31" i="31"/>
  <c r="J32" i="29"/>
  <c r="H32" i="29"/>
  <c r="J31" i="29"/>
  <c r="H31" i="29"/>
  <c r="J30" i="29"/>
  <c r="H30" i="29"/>
  <c r="I29" i="29"/>
  <c r="J28" i="29"/>
  <c r="E37" i="29" s="1"/>
  <c r="H28" i="29"/>
  <c r="I27" i="29"/>
  <c r="E36" i="29" s="1"/>
  <c r="H26" i="29"/>
  <c r="I25" i="29"/>
  <c r="I32" i="29"/>
  <c r="I31" i="29"/>
  <c r="I30" i="29"/>
  <c r="J29" i="29"/>
  <c r="E38" i="29" s="1"/>
  <c r="H27" i="29"/>
  <c r="I26" i="29"/>
  <c r="H29" i="29"/>
  <c r="I28" i="29"/>
  <c r="J27" i="29"/>
  <c r="H25" i="29"/>
  <c r="J32" i="27"/>
  <c r="H32" i="27"/>
  <c r="J31" i="27"/>
  <c r="H30" i="27"/>
  <c r="J28" i="27"/>
  <c r="E37" i="27" s="1"/>
  <c r="I27" i="27"/>
  <c r="E36" i="27" s="1"/>
  <c r="H26" i="27"/>
  <c r="I25" i="27"/>
  <c r="I32" i="27"/>
  <c r="H31" i="27"/>
  <c r="J30" i="27"/>
  <c r="I29" i="27"/>
  <c r="H28" i="27"/>
  <c r="I26" i="27"/>
  <c r="J27" i="27"/>
  <c r="H29" i="27"/>
  <c r="I30" i="27"/>
  <c r="H25" i="27"/>
  <c r="H27" i="27"/>
  <c r="I28" i="27"/>
  <c r="J29" i="27"/>
  <c r="E38" i="27" s="1"/>
  <c r="I31" i="27"/>
  <c r="I32" i="25"/>
  <c r="I31" i="25"/>
  <c r="I30" i="25"/>
  <c r="J29" i="25"/>
  <c r="E38" i="25" s="1"/>
  <c r="H29" i="25"/>
  <c r="I28" i="25"/>
  <c r="J27" i="25"/>
  <c r="H27" i="25"/>
  <c r="I26" i="25"/>
  <c r="H25" i="25"/>
  <c r="J32" i="25"/>
  <c r="H32" i="25"/>
  <c r="J31" i="25"/>
  <c r="H31" i="25"/>
  <c r="J30" i="25"/>
  <c r="H30" i="25"/>
  <c r="I29" i="25"/>
  <c r="J28" i="25"/>
  <c r="E37" i="25" s="1"/>
  <c r="H28" i="25"/>
  <c r="I27" i="25"/>
  <c r="E36" i="25" s="1"/>
  <c r="H26" i="25"/>
  <c r="I25" i="25"/>
  <c r="J32" i="23"/>
  <c r="H32" i="23"/>
  <c r="J31" i="23"/>
  <c r="H31" i="23"/>
  <c r="J30" i="23"/>
  <c r="H30" i="23"/>
  <c r="I29" i="23"/>
  <c r="E37" i="23"/>
  <c r="I27" i="23"/>
  <c r="E36" i="23" s="1"/>
  <c r="H26" i="23"/>
  <c r="I25" i="23"/>
  <c r="I32" i="23"/>
  <c r="I31" i="23"/>
  <c r="I30" i="23"/>
  <c r="J29" i="23"/>
  <c r="E38" i="23" s="1"/>
  <c r="H29" i="23"/>
  <c r="J27" i="23"/>
  <c r="H27" i="23"/>
  <c r="I26" i="23"/>
  <c r="H25" i="23"/>
  <c r="I32" i="21"/>
  <c r="I31" i="21"/>
  <c r="I30" i="21"/>
  <c r="I29" i="21"/>
  <c r="I28" i="21"/>
  <c r="I27" i="21"/>
  <c r="E36" i="21" s="1"/>
  <c r="H26" i="21"/>
  <c r="H25" i="21"/>
  <c r="H32" i="21"/>
  <c r="H31" i="21"/>
  <c r="J30" i="21"/>
  <c r="H30" i="21"/>
  <c r="J29" i="21"/>
  <c r="E38" i="21" s="1"/>
  <c r="H29" i="21"/>
  <c r="J28" i="21"/>
  <c r="E37" i="21" s="1"/>
  <c r="H28" i="21"/>
  <c r="J27" i="21"/>
  <c r="H27" i="21"/>
  <c r="I26" i="21"/>
  <c r="I25" i="21"/>
  <c r="I32" i="19"/>
  <c r="H32" i="19"/>
  <c r="J31" i="19"/>
  <c r="H30" i="19"/>
  <c r="J28" i="19"/>
  <c r="E37" i="19" s="1"/>
  <c r="I27" i="19"/>
  <c r="E36" i="19" s="1"/>
  <c r="H26" i="19"/>
  <c r="I25" i="19"/>
  <c r="J32" i="19"/>
  <c r="H31" i="19"/>
  <c r="J30" i="19"/>
  <c r="I29" i="19"/>
  <c r="H28" i="19"/>
  <c r="I26" i="19"/>
  <c r="J27" i="19"/>
  <c r="H29" i="19"/>
  <c r="I30" i="19"/>
  <c r="H25" i="19"/>
  <c r="H27" i="19"/>
  <c r="I28" i="19"/>
  <c r="J29" i="19"/>
  <c r="E38" i="19" s="1"/>
  <c r="I31" i="19"/>
  <c r="H31" i="17"/>
  <c r="J30" i="17"/>
  <c r="I29" i="17"/>
  <c r="H28" i="17"/>
  <c r="I32" i="17"/>
  <c r="H32" i="17"/>
  <c r="H30" i="17"/>
  <c r="J28" i="17"/>
  <c r="E37" i="17" s="1"/>
  <c r="I27" i="17"/>
  <c r="E36" i="17" s="1"/>
  <c r="H26" i="17"/>
  <c r="I25" i="17"/>
  <c r="H25" i="17"/>
  <c r="H27" i="17"/>
  <c r="I28" i="17"/>
  <c r="J29" i="17"/>
  <c r="E38" i="17" s="1"/>
  <c r="I31" i="17"/>
  <c r="I26" i="17"/>
  <c r="J27" i="17"/>
  <c r="H29" i="17"/>
  <c r="I30" i="17"/>
  <c r="I32" i="15"/>
  <c r="H32" i="15"/>
  <c r="J31" i="15"/>
  <c r="H30" i="15"/>
  <c r="J28" i="15"/>
  <c r="E37" i="15" s="1"/>
  <c r="I27" i="15"/>
  <c r="E36" i="15" s="1"/>
  <c r="I26" i="15"/>
  <c r="H25" i="15"/>
  <c r="J32" i="15"/>
  <c r="H31" i="15"/>
  <c r="J30" i="15"/>
  <c r="I29" i="15"/>
  <c r="H28" i="15"/>
  <c r="H26" i="15"/>
  <c r="I25" i="15"/>
  <c r="J27" i="15"/>
  <c r="H29" i="15"/>
  <c r="I30" i="15"/>
  <c r="H27" i="15"/>
  <c r="I28" i="15"/>
  <c r="J29" i="15"/>
  <c r="E38" i="15" s="1"/>
  <c r="I31" i="15"/>
  <c r="J33" i="13"/>
  <c r="H33" i="13"/>
  <c r="J32" i="13"/>
  <c r="H32" i="13"/>
  <c r="J31" i="13"/>
  <c r="H31" i="13"/>
  <c r="I30" i="13"/>
  <c r="J29" i="13"/>
  <c r="E38" i="13" s="1"/>
  <c r="H29" i="13"/>
  <c r="I28" i="13"/>
  <c r="E37" i="13" s="1"/>
  <c r="H27" i="13"/>
  <c r="I26" i="13"/>
  <c r="I33" i="13"/>
  <c r="I32" i="13"/>
  <c r="I31" i="13"/>
  <c r="J30" i="13"/>
  <c r="E39" i="13" s="1"/>
  <c r="H30" i="13"/>
  <c r="I29" i="13"/>
  <c r="J28" i="13"/>
  <c r="H28" i="13"/>
  <c r="I27" i="13"/>
  <c r="H26" i="13"/>
  <c r="I33" i="11"/>
  <c r="I32" i="11"/>
  <c r="I31" i="11"/>
  <c r="J30" i="11"/>
  <c r="E39" i="11" s="1"/>
  <c r="H30" i="11"/>
  <c r="I29" i="11"/>
  <c r="J28" i="11"/>
  <c r="H28" i="11"/>
  <c r="I27" i="11"/>
  <c r="H26" i="11"/>
  <c r="H33" i="11"/>
  <c r="H32" i="11"/>
  <c r="H31" i="11"/>
  <c r="I30" i="11"/>
  <c r="J29" i="11"/>
  <c r="E38" i="11" s="1"/>
  <c r="H27" i="11"/>
  <c r="I26" i="11"/>
  <c r="J31" i="11"/>
  <c r="H29" i="11"/>
  <c r="I28" i="11"/>
  <c r="E37" i="11" s="1"/>
  <c r="H31" i="9"/>
  <c r="I28" i="9"/>
  <c r="E37" i="9" s="1"/>
  <c r="H27" i="9"/>
  <c r="I26" i="9"/>
  <c r="H32" i="9"/>
  <c r="I33" i="9"/>
  <c r="J31" i="9"/>
  <c r="I30" i="9"/>
  <c r="I27" i="9"/>
  <c r="J28" i="9"/>
  <c r="H30" i="9"/>
  <c r="I31" i="9"/>
  <c r="H33" i="9"/>
  <c r="H26" i="9"/>
  <c r="H28" i="9"/>
  <c r="J30" i="9"/>
  <c r="E39" i="9" s="1"/>
  <c r="I32" i="9"/>
  <c r="I32" i="2"/>
  <c r="H32" i="2"/>
  <c r="H30" i="2"/>
  <c r="H29" i="2"/>
  <c r="I28" i="2"/>
  <c r="J27" i="2"/>
  <c r="H27" i="2"/>
  <c r="I26" i="2"/>
  <c r="H25" i="2"/>
  <c r="J30" i="2"/>
  <c r="I29" i="2"/>
  <c r="J28" i="2"/>
  <c r="E37" i="2" s="1"/>
  <c r="H26" i="2"/>
  <c r="I25" i="2"/>
  <c r="H31" i="2"/>
  <c r="H28" i="2"/>
  <c r="I27" i="2"/>
  <c r="E36" i="2" s="1"/>
  <c r="J29" i="2"/>
  <c r="E38" i="2" s="1"/>
  <c r="I31" i="2"/>
  <c r="I30" i="2"/>
  <c r="C31" i="2"/>
  <c r="C30" i="2"/>
  <c r="C29" i="2"/>
  <c r="D28" i="2"/>
  <c r="D27" i="2"/>
  <c r="E26" i="2"/>
  <c r="C26" i="2"/>
  <c r="D25" i="2"/>
  <c r="E24" i="2"/>
  <c r="C24" i="2"/>
  <c r="C32" i="2"/>
  <c r="C28" i="2"/>
  <c r="E27" i="2"/>
  <c r="C25" i="2"/>
  <c r="D30" i="2"/>
  <c r="D29" i="2"/>
  <c r="C27" i="2"/>
  <c r="D26" i="2"/>
  <c r="E25" i="2"/>
  <c r="D24" i="2"/>
  <c r="C6" i="9"/>
  <c r="C12" i="9"/>
  <c r="D11" i="9"/>
  <c r="C9" i="9"/>
  <c r="D8" i="9"/>
  <c r="E7" i="9"/>
  <c r="D6" i="9"/>
  <c r="C14" i="9"/>
  <c r="C13" i="9"/>
  <c r="D12" i="9"/>
  <c r="D9" i="9"/>
  <c r="E8" i="9"/>
  <c r="D7" i="9"/>
  <c r="C10" i="9"/>
  <c r="E9" i="9"/>
  <c r="C7" i="9"/>
  <c r="C11" i="9"/>
  <c r="D10" i="9"/>
  <c r="C8" i="9"/>
  <c r="E6" i="9"/>
  <c r="C31" i="13"/>
  <c r="D30" i="13"/>
  <c r="C29" i="13"/>
  <c r="E28" i="13"/>
  <c r="C28" i="13"/>
  <c r="D27" i="13"/>
  <c r="E26" i="13"/>
  <c r="C26" i="13"/>
  <c r="D25" i="13"/>
  <c r="C33" i="13"/>
  <c r="C32" i="13"/>
  <c r="D31" i="13"/>
  <c r="C30" i="13"/>
  <c r="D29" i="13"/>
  <c r="D28" i="13"/>
  <c r="C27" i="13"/>
  <c r="D26" i="13"/>
  <c r="C25" i="13"/>
  <c r="E27" i="13"/>
  <c r="E25" i="13"/>
  <c r="C32" i="17"/>
  <c r="D30" i="17"/>
  <c r="C29" i="17"/>
  <c r="C28" i="17"/>
  <c r="E27" i="17"/>
  <c r="C27" i="17"/>
  <c r="E26" i="17"/>
  <c r="C26" i="17"/>
  <c r="E25" i="17"/>
  <c r="C25" i="17"/>
  <c r="D24" i="17"/>
  <c r="C31" i="17"/>
  <c r="C30" i="17"/>
  <c r="D29" i="17"/>
  <c r="D28" i="17"/>
  <c r="D27" i="17"/>
  <c r="D26" i="17"/>
  <c r="D25" i="17"/>
  <c r="E24" i="17"/>
  <c r="C24" i="17"/>
  <c r="C30" i="21"/>
  <c r="C32" i="21"/>
  <c r="C31" i="21"/>
  <c r="D30" i="21"/>
  <c r="C29" i="21"/>
  <c r="D28" i="21"/>
  <c r="D27" i="21"/>
  <c r="C26" i="21"/>
  <c r="E24" i="21"/>
  <c r="E26" i="21"/>
  <c r="D25" i="21"/>
  <c r="C24" i="21"/>
  <c r="C25" i="21"/>
  <c r="D26" i="21"/>
  <c r="E27" i="21"/>
  <c r="D29" i="21"/>
  <c r="D24" i="21"/>
  <c r="E25" i="21"/>
  <c r="C27" i="21"/>
  <c r="C28" i="21"/>
  <c r="C30" i="23"/>
  <c r="D29" i="23"/>
  <c r="C28" i="23"/>
  <c r="E27" i="23"/>
  <c r="C27" i="23"/>
  <c r="D26" i="23"/>
  <c r="E25" i="23"/>
  <c r="C25" i="23"/>
  <c r="D24" i="23"/>
  <c r="C32" i="23"/>
  <c r="C31" i="23"/>
  <c r="D30" i="23"/>
  <c r="C29" i="23"/>
  <c r="D28" i="23"/>
  <c r="D27" i="23"/>
  <c r="E26" i="23"/>
  <c r="C26" i="23"/>
  <c r="D25" i="23"/>
  <c r="E24" i="23"/>
  <c r="C24" i="23"/>
  <c r="C32" i="25"/>
  <c r="C31" i="25"/>
  <c r="D30" i="25"/>
  <c r="C29" i="25"/>
  <c r="D28" i="25"/>
  <c r="D27" i="25"/>
  <c r="E26" i="25"/>
  <c r="C26" i="25"/>
  <c r="D25" i="25"/>
  <c r="E24" i="25"/>
  <c r="C24" i="25"/>
  <c r="C30" i="25"/>
  <c r="D29" i="25"/>
  <c r="C28" i="25"/>
  <c r="E27" i="25"/>
  <c r="C27" i="25"/>
  <c r="D26" i="25"/>
  <c r="E25" i="25"/>
  <c r="C25" i="25"/>
  <c r="D24" i="25"/>
  <c r="C31" i="27"/>
  <c r="C30" i="27"/>
  <c r="D29" i="27"/>
  <c r="D28" i="27"/>
  <c r="D27" i="27"/>
  <c r="D26" i="27"/>
  <c r="D25" i="27"/>
  <c r="E24" i="27"/>
  <c r="C24" i="27"/>
  <c r="C32" i="27"/>
  <c r="D30" i="27"/>
  <c r="C29" i="27"/>
  <c r="C28" i="27"/>
  <c r="E27" i="27"/>
  <c r="C27" i="27"/>
  <c r="E26" i="27"/>
  <c r="C26" i="27"/>
  <c r="E25" i="27"/>
  <c r="C25" i="27"/>
  <c r="D24" i="27"/>
  <c r="C14" i="37"/>
  <c r="C10" i="37"/>
  <c r="C11" i="37"/>
  <c r="C12" i="37"/>
  <c r="C9" i="37"/>
  <c r="D10" i="37"/>
  <c r="D12" i="37"/>
  <c r="D9" i="37"/>
  <c r="C13" i="37"/>
  <c r="E9" i="37"/>
  <c r="D11" i="37"/>
  <c r="C30" i="45"/>
  <c r="D29" i="45"/>
  <c r="C28" i="45"/>
  <c r="E27" i="45"/>
  <c r="C32" i="45"/>
  <c r="C31" i="45"/>
  <c r="D30" i="45"/>
  <c r="D27" i="45"/>
  <c r="E26" i="45"/>
  <c r="C26" i="45"/>
  <c r="D25" i="45"/>
  <c r="E24" i="45"/>
  <c r="C24" i="45"/>
  <c r="D28" i="45"/>
  <c r="C27" i="45"/>
  <c r="D26" i="45"/>
  <c r="E25" i="45"/>
  <c r="D24" i="45"/>
  <c r="C29" i="45"/>
  <c r="C25" i="45"/>
  <c r="C30" i="47"/>
  <c r="D29" i="47"/>
  <c r="C28" i="47"/>
  <c r="E27" i="47"/>
  <c r="C27" i="47"/>
  <c r="D26" i="47"/>
  <c r="E25" i="47"/>
  <c r="C25" i="47"/>
  <c r="D24" i="47"/>
  <c r="C32" i="47"/>
  <c r="C31" i="47"/>
  <c r="D30" i="47"/>
  <c r="D27" i="47"/>
  <c r="E26" i="47"/>
  <c r="E24" i="47"/>
  <c r="C29" i="47"/>
  <c r="C26" i="47"/>
  <c r="C24" i="47"/>
  <c r="D28" i="47"/>
  <c r="D25" i="47"/>
  <c r="C30" i="49"/>
  <c r="D29" i="49"/>
  <c r="C28" i="49"/>
  <c r="E27" i="49"/>
  <c r="C27" i="49"/>
  <c r="D26" i="49"/>
  <c r="E25" i="49"/>
  <c r="C25" i="49"/>
  <c r="D24" i="49"/>
  <c r="C32" i="49"/>
  <c r="C31" i="49"/>
  <c r="D30" i="49"/>
  <c r="D27" i="49"/>
  <c r="E26" i="49"/>
  <c r="E24" i="49"/>
  <c r="D28" i="49"/>
  <c r="D25" i="49"/>
  <c r="C29" i="49"/>
  <c r="C26" i="49"/>
  <c r="C24" i="49"/>
  <c r="C30" i="51"/>
  <c r="D29" i="51"/>
  <c r="C28" i="51"/>
  <c r="E27" i="51"/>
  <c r="C27" i="51"/>
  <c r="D26" i="51"/>
  <c r="E25" i="51"/>
  <c r="C25" i="51"/>
  <c r="D24" i="51"/>
  <c r="C32" i="51"/>
  <c r="C31" i="51"/>
  <c r="D30" i="51"/>
  <c r="D27" i="51"/>
  <c r="E26" i="51"/>
  <c r="E24" i="51"/>
  <c r="C29" i="51"/>
  <c r="C26" i="51"/>
  <c r="C24" i="51"/>
  <c r="D28" i="51"/>
  <c r="D25" i="51"/>
  <c r="C32" i="53"/>
  <c r="D30" i="53"/>
  <c r="C29" i="53"/>
  <c r="C28" i="53"/>
  <c r="E27" i="53"/>
  <c r="C27" i="53"/>
  <c r="E26" i="53"/>
  <c r="C26" i="53"/>
  <c r="E25" i="53"/>
  <c r="C25" i="53"/>
  <c r="D24" i="53"/>
  <c r="C31" i="53"/>
  <c r="C30" i="53"/>
  <c r="E24" i="53"/>
  <c r="D29" i="53"/>
  <c r="D27" i="53"/>
  <c r="D25" i="53"/>
  <c r="D28" i="53"/>
  <c r="D26" i="53"/>
  <c r="C24" i="53"/>
  <c r="C31" i="82"/>
  <c r="C30" i="82"/>
  <c r="D29" i="82"/>
  <c r="D28" i="82"/>
  <c r="D27" i="82"/>
  <c r="D26" i="82"/>
  <c r="D25" i="82"/>
  <c r="E24" i="82"/>
  <c r="C24" i="82"/>
  <c r="D30" i="82"/>
  <c r="C29" i="82"/>
  <c r="C28" i="82"/>
  <c r="C27" i="82"/>
  <c r="C26" i="82"/>
  <c r="C25" i="82"/>
  <c r="E26" i="82"/>
  <c r="D24" i="82"/>
  <c r="C32" i="82"/>
  <c r="E27" i="82"/>
  <c r="E25" i="82"/>
  <c r="C31" i="84"/>
  <c r="C30" i="84"/>
  <c r="D29" i="84"/>
  <c r="D28" i="84"/>
  <c r="D27" i="84"/>
  <c r="D26" i="84"/>
  <c r="D25" i="84"/>
  <c r="E24" i="84"/>
  <c r="C24" i="84"/>
  <c r="C32" i="84"/>
  <c r="E27" i="84"/>
  <c r="E26" i="84"/>
  <c r="E25" i="84"/>
  <c r="D24" i="84"/>
  <c r="D30" i="84"/>
  <c r="C28" i="84"/>
  <c r="C26" i="84"/>
  <c r="C27" i="84"/>
  <c r="C29" i="84"/>
  <c r="C25" i="84"/>
  <c r="C32" i="98"/>
  <c r="C31" i="98"/>
  <c r="D30" i="98"/>
  <c r="C29" i="98"/>
  <c r="D28" i="98"/>
  <c r="D27" i="98"/>
  <c r="E26" i="98"/>
  <c r="C26" i="98"/>
  <c r="D25" i="98"/>
  <c r="E24" i="98"/>
  <c r="C24" i="98"/>
  <c r="C30" i="98"/>
  <c r="D29" i="98"/>
  <c r="C27" i="98"/>
  <c r="D26" i="98"/>
  <c r="E25" i="98"/>
  <c r="D24" i="98"/>
  <c r="E27" i="98"/>
  <c r="C28" i="98"/>
  <c r="C25" i="98"/>
  <c r="C30" i="8"/>
  <c r="D29" i="8"/>
  <c r="C28" i="8"/>
  <c r="E27" i="8"/>
  <c r="C27" i="8"/>
  <c r="D26" i="8"/>
  <c r="E25" i="8"/>
  <c r="C25" i="8"/>
  <c r="D24" i="8"/>
  <c r="C32" i="8"/>
  <c r="C31" i="8"/>
  <c r="D30" i="8"/>
  <c r="D27" i="8"/>
  <c r="E26" i="8"/>
  <c r="E24" i="8"/>
  <c r="C29" i="8"/>
  <c r="C26" i="8"/>
  <c r="C24" i="8"/>
  <c r="D28" i="8"/>
  <c r="D25" i="8"/>
  <c r="H32" i="1"/>
  <c r="H31" i="1"/>
  <c r="J30" i="1"/>
  <c r="H30" i="1"/>
  <c r="J29" i="1"/>
  <c r="E38" i="1" s="1"/>
  <c r="H29" i="1"/>
  <c r="J28" i="1"/>
  <c r="E37" i="1" s="1"/>
  <c r="H28" i="1"/>
  <c r="J27" i="1"/>
  <c r="H27" i="1"/>
  <c r="I26" i="1"/>
  <c r="I32" i="1"/>
  <c r="I31" i="1"/>
  <c r="I30" i="1"/>
  <c r="I29" i="1"/>
  <c r="I28" i="1"/>
  <c r="I27" i="1"/>
  <c r="E36" i="1" s="1"/>
  <c r="H26" i="1"/>
  <c r="I25" i="1"/>
  <c r="C32" i="3"/>
  <c r="C31" i="3"/>
  <c r="D30" i="3"/>
  <c r="C29" i="3"/>
  <c r="D28" i="3"/>
  <c r="D27" i="3"/>
  <c r="E26" i="3"/>
  <c r="C26" i="3"/>
  <c r="D25" i="3"/>
  <c r="E24" i="3"/>
  <c r="C24" i="3"/>
  <c r="C28" i="3"/>
  <c r="E27" i="3"/>
  <c r="C25" i="3"/>
  <c r="C30" i="3"/>
  <c r="D29" i="3"/>
  <c r="C27" i="3"/>
  <c r="D26" i="3"/>
  <c r="E25" i="3"/>
  <c r="D24" i="3"/>
  <c r="C33" i="12"/>
  <c r="C32" i="12"/>
  <c r="D31" i="12"/>
  <c r="D30" i="12"/>
  <c r="D29" i="12"/>
  <c r="D28" i="12"/>
  <c r="D27" i="12"/>
  <c r="E26" i="12"/>
  <c r="C26" i="12"/>
  <c r="C34" i="12"/>
  <c r="E29" i="12"/>
  <c r="E28" i="12"/>
  <c r="E27" i="12"/>
  <c r="D26" i="12"/>
  <c r="D32" i="12"/>
  <c r="C31" i="12"/>
  <c r="C30" i="12"/>
  <c r="C29" i="12"/>
  <c r="C28" i="12"/>
  <c r="C27" i="12"/>
  <c r="C30" i="16"/>
  <c r="D29" i="16"/>
  <c r="C28" i="16"/>
  <c r="E27" i="16"/>
  <c r="C27" i="16"/>
  <c r="D26" i="16"/>
  <c r="E25" i="16"/>
  <c r="C25" i="16"/>
  <c r="D24" i="16"/>
  <c r="C32" i="16"/>
  <c r="C31" i="16"/>
  <c r="D30" i="16"/>
  <c r="C29" i="16"/>
  <c r="D28" i="16"/>
  <c r="D27" i="16"/>
  <c r="E26" i="16"/>
  <c r="C26" i="16"/>
  <c r="D25" i="16"/>
  <c r="E24" i="16"/>
  <c r="C24" i="16"/>
  <c r="C14" i="48"/>
  <c r="C13" i="48"/>
  <c r="C11" i="48"/>
  <c r="D9" i="48"/>
  <c r="C12" i="48"/>
  <c r="C10" i="48"/>
  <c r="E9" i="48"/>
  <c r="D11" i="48"/>
  <c r="C9" i="48"/>
  <c r="D10" i="48"/>
  <c r="D12" i="48"/>
  <c r="H7" i="9"/>
  <c r="J14" i="9"/>
  <c r="J13" i="9"/>
  <c r="J12" i="9"/>
  <c r="I9" i="9"/>
  <c r="E18" i="9" s="1"/>
  <c r="H11" i="9"/>
  <c r="J9" i="9"/>
  <c r="H14" i="9"/>
  <c r="H13" i="9"/>
  <c r="H12" i="9"/>
  <c r="I11" i="9"/>
  <c r="H8" i="9"/>
  <c r="I7" i="9"/>
  <c r="I14" i="9"/>
  <c r="I13" i="9"/>
  <c r="I12" i="9"/>
  <c r="J11" i="9"/>
  <c r="E20" i="9" s="1"/>
  <c r="H9" i="9"/>
  <c r="I8" i="9"/>
  <c r="C33" i="9"/>
  <c r="C32" i="9"/>
  <c r="C31" i="9"/>
  <c r="D30" i="9"/>
  <c r="D29" i="9"/>
  <c r="D28" i="9"/>
  <c r="D27" i="9"/>
  <c r="D26" i="9"/>
  <c r="E25" i="9"/>
  <c r="C25" i="9"/>
  <c r="D31" i="9"/>
  <c r="C30" i="9"/>
  <c r="C29" i="9"/>
  <c r="C28" i="9"/>
  <c r="C27" i="9"/>
  <c r="C26" i="9"/>
  <c r="E28" i="9"/>
  <c r="E27" i="9"/>
  <c r="E26" i="9"/>
  <c r="D25" i="9"/>
  <c r="C33" i="11"/>
  <c r="C32" i="11"/>
  <c r="D31" i="11"/>
  <c r="C30" i="11"/>
  <c r="D29" i="11"/>
  <c r="D28" i="11"/>
  <c r="E27" i="11"/>
  <c r="C27" i="11"/>
  <c r="D26" i="11"/>
  <c r="E25" i="11"/>
  <c r="C25" i="11"/>
  <c r="C29" i="11"/>
  <c r="E28" i="11"/>
  <c r="C26" i="11"/>
  <c r="C31" i="11"/>
  <c r="D30" i="11"/>
  <c r="C28" i="11"/>
  <c r="D27" i="11"/>
  <c r="E26" i="11"/>
  <c r="D25" i="11"/>
  <c r="C31" i="15"/>
  <c r="C30" i="15"/>
  <c r="D29" i="15"/>
  <c r="D28" i="15"/>
  <c r="D27" i="15"/>
  <c r="E26" i="15"/>
  <c r="C26" i="15"/>
  <c r="D25" i="15"/>
  <c r="E24" i="15"/>
  <c r="C24" i="15"/>
  <c r="C32" i="15"/>
  <c r="D30" i="15"/>
  <c r="C29" i="15"/>
  <c r="C28" i="15"/>
  <c r="E27" i="15"/>
  <c r="C27" i="15"/>
  <c r="D26" i="15"/>
  <c r="E25" i="15"/>
  <c r="C25" i="15"/>
  <c r="D24" i="15"/>
  <c r="C31" i="19"/>
  <c r="C30" i="19"/>
  <c r="D29" i="19"/>
  <c r="D28" i="19"/>
  <c r="D27" i="19"/>
  <c r="D26" i="19"/>
  <c r="D25" i="19"/>
  <c r="E24" i="19"/>
  <c r="C24" i="19"/>
  <c r="C32" i="19"/>
  <c r="D30" i="19"/>
  <c r="C29" i="19"/>
  <c r="C28" i="19"/>
  <c r="E27" i="19"/>
  <c r="C27" i="19"/>
  <c r="E26" i="19"/>
  <c r="C26" i="19"/>
  <c r="E25" i="19"/>
  <c r="C25" i="19"/>
  <c r="D24" i="19"/>
  <c r="C30" i="29"/>
  <c r="D29" i="29"/>
  <c r="C28" i="29"/>
  <c r="E27" i="29"/>
  <c r="C27" i="29"/>
  <c r="D26" i="29"/>
  <c r="E25" i="29"/>
  <c r="C25" i="29"/>
  <c r="D24" i="29"/>
  <c r="C29" i="29"/>
  <c r="D28" i="29"/>
  <c r="C26" i="29"/>
  <c r="D25" i="29"/>
  <c r="C24" i="29"/>
  <c r="C32" i="29"/>
  <c r="C31" i="29"/>
  <c r="D30" i="29"/>
  <c r="D27" i="29"/>
  <c r="E26" i="29"/>
  <c r="E24" i="29"/>
  <c r="C32" i="31"/>
  <c r="D30" i="31"/>
  <c r="C29" i="31"/>
  <c r="C28" i="31"/>
  <c r="E27" i="31"/>
  <c r="C27" i="31"/>
  <c r="E26" i="31"/>
  <c r="C26" i="31"/>
  <c r="E25" i="31"/>
  <c r="C25" i="31"/>
  <c r="D24" i="31"/>
  <c r="D29" i="31"/>
  <c r="D28" i="31"/>
  <c r="D27" i="31"/>
  <c r="D26" i="31"/>
  <c r="D25" i="31"/>
  <c r="C24" i="31"/>
  <c r="C31" i="31"/>
  <c r="C30" i="31"/>
  <c r="E24" i="31"/>
  <c r="C32" i="33"/>
  <c r="D30" i="33"/>
  <c r="C29" i="33"/>
  <c r="C28" i="33"/>
  <c r="E27" i="33"/>
  <c r="C27" i="33"/>
  <c r="E26" i="33"/>
  <c r="C26" i="33"/>
  <c r="E25" i="33"/>
  <c r="C25" i="33"/>
  <c r="D24" i="33"/>
  <c r="C31" i="33"/>
  <c r="C30" i="33"/>
  <c r="E24" i="33"/>
  <c r="D29" i="33"/>
  <c r="D28" i="33"/>
  <c r="D27" i="33"/>
  <c r="D26" i="33"/>
  <c r="D25" i="33"/>
  <c r="C24" i="33"/>
  <c r="C31" i="35"/>
  <c r="C30" i="35"/>
  <c r="D29" i="35"/>
  <c r="D28" i="35"/>
  <c r="D27" i="35"/>
  <c r="D26" i="35"/>
  <c r="D25" i="35"/>
  <c r="E24" i="35"/>
  <c r="C24" i="35"/>
  <c r="D30" i="35"/>
  <c r="C29" i="35"/>
  <c r="C28" i="35"/>
  <c r="C27" i="35"/>
  <c r="C26" i="35"/>
  <c r="C25" i="35"/>
  <c r="C32" i="35"/>
  <c r="E27" i="35"/>
  <c r="E26" i="35"/>
  <c r="E25" i="35"/>
  <c r="D24" i="35"/>
  <c r="C30" i="37"/>
  <c r="D29" i="37"/>
  <c r="C28" i="37"/>
  <c r="E27" i="37"/>
  <c r="C27" i="37"/>
  <c r="D26" i="37"/>
  <c r="E25" i="37"/>
  <c r="C25" i="37"/>
  <c r="D24" i="37"/>
  <c r="C29" i="37"/>
  <c r="D28" i="37"/>
  <c r="C26" i="37"/>
  <c r="D25" i="37"/>
  <c r="C24" i="37"/>
  <c r="C32" i="37"/>
  <c r="C31" i="37"/>
  <c r="D30" i="37"/>
  <c r="D27" i="37"/>
  <c r="E26" i="37"/>
  <c r="E24" i="37"/>
  <c r="C30" i="39"/>
  <c r="D29" i="39"/>
  <c r="C28" i="39"/>
  <c r="E27" i="39"/>
  <c r="C27" i="39"/>
  <c r="D26" i="39"/>
  <c r="E25" i="39"/>
  <c r="C25" i="39"/>
  <c r="D24" i="39"/>
  <c r="C29" i="39"/>
  <c r="D28" i="39"/>
  <c r="C26" i="39"/>
  <c r="D25" i="39"/>
  <c r="C24" i="39"/>
  <c r="C32" i="39"/>
  <c r="C31" i="39"/>
  <c r="D30" i="39"/>
  <c r="D27" i="39"/>
  <c r="E26" i="39"/>
  <c r="E24" i="39"/>
  <c r="C30" i="41"/>
  <c r="D29" i="41"/>
  <c r="C28" i="41"/>
  <c r="E27" i="41"/>
  <c r="C27" i="41"/>
  <c r="D26" i="41"/>
  <c r="E25" i="41"/>
  <c r="C25" i="41"/>
  <c r="D24" i="41"/>
  <c r="C29" i="41"/>
  <c r="D28" i="41"/>
  <c r="C26" i="41"/>
  <c r="D25" i="41"/>
  <c r="C24" i="41"/>
  <c r="C32" i="41"/>
  <c r="C31" i="41"/>
  <c r="D30" i="41"/>
  <c r="D27" i="41"/>
  <c r="E26" i="41"/>
  <c r="E24" i="41"/>
  <c r="C32" i="43"/>
  <c r="D30" i="43"/>
  <c r="C29" i="43"/>
  <c r="C28" i="43"/>
  <c r="E27" i="43"/>
  <c r="C27" i="43"/>
  <c r="E26" i="43"/>
  <c r="C26" i="43"/>
  <c r="E25" i="43"/>
  <c r="C25" i="43"/>
  <c r="D24" i="43"/>
  <c r="D29" i="43"/>
  <c r="D28" i="43"/>
  <c r="D27" i="43"/>
  <c r="D26" i="43"/>
  <c r="D25" i="43"/>
  <c r="C24" i="43"/>
  <c r="C31" i="43"/>
  <c r="C30" i="43"/>
  <c r="E24" i="43"/>
  <c r="C30" i="55"/>
  <c r="D29" i="55"/>
  <c r="C28" i="55"/>
  <c r="E27" i="55"/>
  <c r="C27" i="55"/>
  <c r="D26" i="55"/>
  <c r="E25" i="55"/>
  <c r="C25" i="55"/>
  <c r="D24" i="55"/>
  <c r="C29" i="55"/>
  <c r="D28" i="55"/>
  <c r="C26" i="55"/>
  <c r="D25" i="55"/>
  <c r="C24" i="55"/>
  <c r="C31" i="55"/>
  <c r="E26" i="55"/>
  <c r="E24" i="55"/>
  <c r="C32" i="55"/>
  <c r="D30" i="55"/>
  <c r="D27" i="55"/>
  <c r="C32" i="57"/>
  <c r="C31" i="57"/>
  <c r="D30" i="57"/>
  <c r="C29" i="57"/>
  <c r="D28" i="57"/>
  <c r="D27" i="57"/>
  <c r="E26" i="57"/>
  <c r="C26" i="57"/>
  <c r="D25" i="57"/>
  <c r="E24" i="57"/>
  <c r="C24" i="57"/>
  <c r="C30" i="57"/>
  <c r="D29" i="57"/>
  <c r="C27" i="57"/>
  <c r="D26" i="57"/>
  <c r="E25" i="57"/>
  <c r="D24" i="57"/>
  <c r="E27" i="57"/>
  <c r="C28" i="57"/>
  <c r="C25" i="57"/>
  <c r="C30" i="59"/>
  <c r="C32" i="59"/>
  <c r="C31" i="59"/>
  <c r="D30" i="59"/>
  <c r="C29" i="59"/>
  <c r="D28" i="59"/>
  <c r="D27" i="59"/>
  <c r="C26" i="59"/>
  <c r="E24" i="59"/>
  <c r="E26" i="59"/>
  <c r="D25" i="59"/>
  <c r="C24" i="59"/>
  <c r="C25" i="59"/>
  <c r="D26" i="59"/>
  <c r="E27" i="59"/>
  <c r="D29" i="59"/>
  <c r="D24" i="59"/>
  <c r="E25" i="59"/>
  <c r="C27" i="59"/>
  <c r="C28" i="59"/>
  <c r="C30" i="62"/>
  <c r="D29" i="62"/>
  <c r="C28" i="62"/>
  <c r="E27" i="62"/>
  <c r="C27" i="62"/>
  <c r="D26" i="62"/>
  <c r="E25" i="62"/>
  <c r="C25" i="62"/>
  <c r="D24" i="62"/>
  <c r="C32" i="62"/>
  <c r="C31" i="62"/>
  <c r="D30" i="62"/>
  <c r="D27" i="62"/>
  <c r="E26" i="62"/>
  <c r="E24" i="62"/>
  <c r="C29" i="62"/>
  <c r="C26" i="62"/>
  <c r="C24" i="62"/>
  <c r="D28" i="62"/>
  <c r="D25" i="62"/>
  <c r="C30" i="64"/>
  <c r="D29" i="64"/>
  <c r="C28" i="64"/>
  <c r="E27" i="64"/>
  <c r="C27" i="64"/>
  <c r="D26" i="64"/>
  <c r="E25" i="64"/>
  <c r="C25" i="64"/>
  <c r="D24" i="64"/>
  <c r="C32" i="64"/>
  <c r="C31" i="64"/>
  <c r="D30" i="64"/>
  <c r="D27" i="64"/>
  <c r="E26" i="64"/>
  <c r="E24" i="64"/>
  <c r="D28" i="64"/>
  <c r="D25" i="64"/>
  <c r="C29" i="64"/>
  <c r="C26" i="64"/>
  <c r="C24" i="64"/>
  <c r="C32" i="66"/>
  <c r="C31" i="66"/>
  <c r="D30" i="66"/>
  <c r="C29" i="66"/>
  <c r="D28" i="66"/>
  <c r="D27" i="66"/>
  <c r="E26" i="66"/>
  <c r="C26" i="66"/>
  <c r="D25" i="66"/>
  <c r="E24" i="66"/>
  <c r="C24" i="66"/>
  <c r="C28" i="66"/>
  <c r="E27" i="66"/>
  <c r="C25" i="66"/>
  <c r="D29" i="66"/>
  <c r="D26" i="66"/>
  <c r="D24" i="66"/>
  <c r="C30" i="66"/>
  <c r="C27" i="66"/>
  <c r="E25" i="66"/>
  <c r="C31" i="68"/>
  <c r="C30" i="68"/>
  <c r="D29" i="68"/>
  <c r="D28" i="68"/>
  <c r="D27" i="68"/>
  <c r="D26" i="68"/>
  <c r="D25" i="68"/>
  <c r="E24" i="68"/>
  <c r="C24" i="68"/>
  <c r="D30" i="68"/>
  <c r="C29" i="68"/>
  <c r="C28" i="68"/>
  <c r="C27" i="68"/>
  <c r="C26" i="68"/>
  <c r="C25" i="68"/>
  <c r="C32" i="68"/>
  <c r="E27" i="68"/>
  <c r="E25" i="68"/>
  <c r="E26" i="68"/>
  <c r="D24" i="68"/>
  <c r="C30" i="70"/>
  <c r="D29" i="70"/>
  <c r="C28" i="70"/>
  <c r="E27" i="70"/>
  <c r="C27" i="70"/>
  <c r="D26" i="70"/>
  <c r="E25" i="70"/>
  <c r="C25" i="70"/>
  <c r="D24" i="70"/>
  <c r="C29" i="70"/>
  <c r="D28" i="70"/>
  <c r="C26" i="70"/>
  <c r="D25" i="70"/>
  <c r="C24" i="70"/>
  <c r="C31" i="70"/>
  <c r="E26" i="70"/>
  <c r="E24" i="70"/>
  <c r="C32" i="70"/>
  <c r="D30" i="70"/>
  <c r="D27" i="70"/>
  <c r="C32" i="72"/>
  <c r="D30" i="72"/>
  <c r="C29" i="72"/>
  <c r="C28" i="72"/>
  <c r="E27" i="72"/>
  <c r="C27" i="72"/>
  <c r="E26" i="72"/>
  <c r="C31" i="72"/>
  <c r="C30" i="72"/>
  <c r="C26" i="72"/>
  <c r="E25" i="72"/>
  <c r="C25" i="72"/>
  <c r="D24" i="72"/>
  <c r="D28" i="72"/>
  <c r="D26" i="72"/>
  <c r="D25" i="72"/>
  <c r="C24" i="72"/>
  <c r="D29" i="72"/>
  <c r="D27" i="72"/>
  <c r="E24" i="72"/>
  <c r="C32" i="74"/>
  <c r="C31" i="74"/>
  <c r="D30" i="74"/>
  <c r="C29" i="74"/>
  <c r="D28" i="74"/>
  <c r="D27" i="74"/>
  <c r="E26" i="74"/>
  <c r="C26" i="74"/>
  <c r="D25" i="74"/>
  <c r="E24" i="74"/>
  <c r="C24" i="74"/>
  <c r="C28" i="74"/>
  <c r="E27" i="74"/>
  <c r="C25" i="74"/>
  <c r="C30" i="74"/>
  <c r="C27" i="74"/>
  <c r="E25" i="74"/>
  <c r="D29" i="74"/>
  <c r="D26" i="74"/>
  <c r="D24" i="74"/>
  <c r="C31" i="76"/>
  <c r="C30" i="76"/>
  <c r="D29" i="76"/>
  <c r="D28" i="76"/>
  <c r="D27" i="76"/>
  <c r="D26" i="76"/>
  <c r="D25" i="76"/>
  <c r="E24" i="76"/>
  <c r="C24" i="76"/>
  <c r="D30" i="76"/>
  <c r="C29" i="76"/>
  <c r="C28" i="76"/>
  <c r="C27" i="76"/>
  <c r="C26" i="76"/>
  <c r="C25" i="76"/>
  <c r="E26" i="76"/>
  <c r="D24" i="76"/>
  <c r="E25" i="76"/>
  <c r="C32" i="76"/>
  <c r="E27" i="76"/>
  <c r="C32" i="78"/>
  <c r="D30" i="78"/>
  <c r="C29" i="78"/>
  <c r="C28" i="78"/>
  <c r="E27" i="78"/>
  <c r="C27" i="78"/>
  <c r="E26" i="78"/>
  <c r="C26" i="78"/>
  <c r="E25" i="78"/>
  <c r="C25" i="78"/>
  <c r="D24" i="78"/>
  <c r="D29" i="78"/>
  <c r="D28" i="78"/>
  <c r="D27" i="78"/>
  <c r="D26" i="78"/>
  <c r="D25" i="78"/>
  <c r="C24" i="78"/>
  <c r="C30" i="78"/>
  <c r="C31" i="78"/>
  <c r="E24" i="78"/>
  <c r="C31" i="80"/>
  <c r="C30" i="80"/>
  <c r="D29" i="80"/>
  <c r="D28" i="80"/>
  <c r="D27" i="80"/>
  <c r="D26" i="80"/>
  <c r="D25" i="80"/>
  <c r="E24" i="80"/>
  <c r="C24" i="80"/>
  <c r="C32" i="80"/>
  <c r="E27" i="80"/>
  <c r="E26" i="80"/>
  <c r="E25" i="80"/>
  <c r="D24" i="80"/>
  <c r="C29" i="80"/>
  <c r="C27" i="80"/>
  <c r="C25" i="80"/>
  <c r="C28" i="80"/>
  <c r="D30" i="80"/>
  <c r="C26" i="80"/>
  <c r="C30" i="86"/>
  <c r="D29" i="86"/>
  <c r="C28" i="86"/>
  <c r="E27" i="86"/>
  <c r="C27" i="86"/>
  <c r="D26" i="86"/>
  <c r="E25" i="86"/>
  <c r="C25" i="86"/>
  <c r="D24" i="86"/>
  <c r="C32" i="86"/>
  <c r="C31" i="86"/>
  <c r="D30" i="86"/>
  <c r="D27" i="86"/>
  <c r="E26" i="86"/>
  <c r="E24" i="86"/>
  <c r="D28" i="86"/>
  <c r="D25" i="86"/>
  <c r="C24" i="86"/>
  <c r="C26" i="86"/>
  <c r="C29" i="86"/>
  <c r="C31" i="88"/>
  <c r="C30" i="88"/>
  <c r="D29" i="88"/>
  <c r="D28" i="88"/>
  <c r="D27" i="88"/>
  <c r="D26" i="88"/>
  <c r="D25" i="88"/>
  <c r="E24" i="88"/>
  <c r="C24" i="88"/>
  <c r="D30" i="88"/>
  <c r="C29" i="88"/>
  <c r="C28" i="88"/>
  <c r="C27" i="88"/>
  <c r="C26" i="88"/>
  <c r="C25" i="88"/>
  <c r="E26" i="88"/>
  <c r="D24" i="88"/>
  <c r="E25" i="88"/>
  <c r="C32" i="88"/>
  <c r="E27" i="88"/>
  <c r="C30" i="90"/>
  <c r="D29" i="90"/>
  <c r="C28" i="90"/>
  <c r="E27" i="90"/>
  <c r="C27" i="90"/>
  <c r="D26" i="90"/>
  <c r="E25" i="90"/>
  <c r="C25" i="90"/>
  <c r="D24" i="90"/>
  <c r="C29" i="90"/>
  <c r="D28" i="90"/>
  <c r="C26" i="90"/>
  <c r="D25" i="90"/>
  <c r="C24" i="90"/>
  <c r="C32" i="90"/>
  <c r="D30" i="90"/>
  <c r="D27" i="90"/>
  <c r="E26" i="90"/>
  <c r="C31" i="90"/>
  <c r="E24" i="90"/>
  <c r="C30" i="92"/>
  <c r="D29" i="92"/>
  <c r="C28" i="92"/>
  <c r="E27" i="92"/>
  <c r="C27" i="92"/>
  <c r="D26" i="92"/>
  <c r="E25" i="92"/>
  <c r="C25" i="92"/>
  <c r="D24" i="92"/>
  <c r="C29" i="92"/>
  <c r="D28" i="92"/>
  <c r="C26" i="92"/>
  <c r="D25" i="92"/>
  <c r="C24" i="92"/>
  <c r="C31" i="92"/>
  <c r="E26" i="92"/>
  <c r="E24" i="92"/>
  <c r="C32" i="92"/>
  <c r="D30" i="92"/>
  <c r="D27" i="92"/>
  <c r="C31" i="94"/>
  <c r="C30" i="94"/>
  <c r="D29" i="94"/>
  <c r="D28" i="94"/>
  <c r="D27" i="94"/>
  <c r="D26" i="94"/>
  <c r="D25" i="94"/>
  <c r="E24" i="94"/>
  <c r="C24" i="94"/>
  <c r="C32" i="94"/>
  <c r="E27" i="94"/>
  <c r="E26" i="94"/>
  <c r="E25" i="94"/>
  <c r="D24" i="94"/>
  <c r="D30" i="94"/>
  <c r="C28" i="94"/>
  <c r="C26" i="94"/>
  <c r="C27" i="94"/>
  <c r="C29" i="94"/>
  <c r="C25" i="94"/>
  <c r="C32" i="96"/>
  <c r="C31" i="96"/>
  <c r="D30" i="96"/>
  <c r="C29" i="96"/>
  <c r="D28" i="96"/>
  <c r="D27" i="96"/>
  <c r="E26" i="96"/>
  <c r="C26" i="96"/>
  <c r="D25" i="96"/>
  <c r="E24" i="96"/>
  <c r="C24" i="96"/>
  <c r="C30" i="96"/>
  <c r="D29" i="96"/>
  <c r="C27" i="96"/>
  <c r="D26" i="96"/>
  <c r="E25" i="96"/>
  <c r="D24" i="96"/>
  <c r="C28" i="96"/>
  <c r="C25" i="96"/>
  <c r="E27" i="96"/>
  <c r="C30" i="100"/>
  <c r="D29" i="100"/>
  <c r="C28" i="100"/>
  <c r="E27" i="100"/>
  <c r="C27" i="100"/>
  <c r="D26" i="100"/>
  <c r="E25" i="100"/>
  <c r="C25" i="100"/>
  <c r="D24" i="100"/>
  <c r="C32" i="100"/>
  <c r="C31" i="100"/>
  <c r="D30" i="100"/>
  <c r="D27" i="100"/>
  <c r="E26" i="100"/>
  <c r="E24" i="100"/>
  <c r="C29" i="100"/>
  <c r="C26" i="100"/>
  <c r="C24" i="100"/>
  <c r="D28" i="100"/>
  <c r="D25" i="100"/>
  <c r="C30" i="102"/>
  <c r="D29" i="102"/>
  <c r="C28" i="102"/>
  <c r="E27" i="102"/>
  <c r="C27" i="102"/>
  <c r="D26" i="102"/>
  <c r="E25" i="102"/>
  <c r="C25" i="102"/>
  <c r="D24" i="102"/>
  <c r="C32" i="102"/>
  <c r="C31" i="102"/>
  <c r="D30" i="102"/>
  <c r="D27" i="102"/>
  <c r="E26" i="102"/>
  <c r="E24" i="102"/>
  <c r="D28" i="102"/>
  <c r="D25" i="102"/>
  <c r="C29" i="102"/>
  <c r="C26" i="102"/>
  <c r="C24" i="102"/>
  <c r="C31" i="7"/>
  <c r="C30" i="7"/>
  <c r="D29" i="7"/>
  <c r="D28" i="7"/>
  <c r="D27" i="7"/>
  <c r="D26" i="7"/>
  <c r="D25" i="7"/>
  <c r="E24" i="7"/>
  <c r="C24" i="7"/>
  <c r="C32" i="7"/>
  <c r="E27" i="7"/>
  <c r="E26" i="7"/>
  <c r="E25" i="7"/>
  <c r="D24" i="7"/>
  <c r="D30" i="7"/>
  <c r="C28" i="7"/>
  <c r="C26" i="7"/>
  <c r="C29" i="7"/>
  <c r="C25" i="7"/>
  <c r="C27" i="7"/>
  <c r="J32" i="6"/>
  <c r="H31" i="6"/>
  <c r="J30" i="6"/>
  <c r="I29" i="6"/>
  <c r="H28" i="6"/>
  <c r="H32" i="6"/>
  <c r="J28" i="6"/>
  <c r="E37" i="6" s="1"/>
  <c r="I27" i="6"/>
  <c r="E36" i="6" s="1"/>
  <c r="H26" i="6"/>
  <c r="I32" i="6"/>
  <c r="H30" i="6"/>
  <c r="I25" i="6"/>
  <c r="J31" i="6"/>
  <c r="H25" i="6"/>
  <c r="H27" i="6"/>
  <c r="I28" i="6"/>
  <c r="J29" i="6"/>
  <c r="E38" i="6" s="1"/>
  <c r="I31" i="6"/>
  <c r="I26" i="6"/>
  <c r="J27" i="6"/>
  <c r="H29" i="6"/>
  <c r="I30" i="6"/>
  <c r="J32" i="103"/>
  <c r="H32" i="103"/>
  <c r="J31" i="103"/>
  <c r="H31" i="103"/>
  <c r="J30" i="103"/>
  <c r="H30" i="103"/>
  <c r="I29" i="103"/>
  <c r="J28" i="103"/>
  <c r="E37" i="103" s="1"/>
  <c r="H28" i="103"/>
  <c r="I27" i="103"/>
  <c r="E36" i="103" s="1"/>
  <c r="H26" i="103"/>
  <c r="I25" i="103"/>
  <c r="I32" i="103"/>
  <c r="I31" i="103"/>
  <c r="I30" i="103"/>
  <c r="J29" i="103"/>
  <c r="E38" i="103" s="1"/>
  <c r="H27" i="103"/>
  <c r="I26" i="103"/>
  <c r="H29" i="103"/>
  <c r="J27" i="103"/>
  <c r="I28" i="103"/>
  <c r="H25" i="103"/>
  <c r="H32" i="101"/>
  <c r="H31" i="101"/>
  <c r="J30" i="101"/>
  <c r="H30" i="101"/>
  <c r="I29" i="101"/>
  <c r="J28" i="101"/>
  <c r="E37" i="101" s="1"/>
  <c r="H28" i="101"/>
  <c r="I27" i="101"/>
  <c r="E36" i="101" s="1"/>
  <c r="H26" i="101"/>
  <c r="I25" i="101"/>
  <c r="I32" i="101"/>
  <c r="I31" i="101"/>
  <c r="I30" i="101"/>
  <c r="J29" i="101"/>
  <c r="E38" i="101" s="1"/>
  <c r="H27" i="101"/>
  <c r="I26" i="101"/>
  <c r="I28" i="101"/>
  <c r="H25" i="101"/>
  <c r="J27" i="101"/>
  <c r="H29" i="101"/>
  <c r="J32" i="99"/>
  <c r="H32" i="99"/>
  <c r="J31" i="99"/>
  <c r="H31" i="99"/>
  <c r="J30" i="99"/>
  <c r="H30" i="99"/>
  <c r="I29" i="99"/>
  <c r="J28" i="99"/>
  <c r="E37" i="99" s="1"/>
  <c r="H28" i="99"/>
  <c r="I27" i="99"/>
  <c r="E36" i="99" s="1"/>
  <c r="H26" i="99"/>
  <c r="I25" i="99"/>
  <c r="I32" i="99"/>
  <c r="I31" i="99"/>
  <c r="I30" i="99"/>
  <c r="J29" i="99"/>
  <c r="E38" i="99" s="1"/>
  <c r="H27" i="99"/>
  <c r="I26" i="99"/>
  <c r="H29" i="99"/>
  <c r="J27" i="99"/>
  <c r="I28" i="99"/>
  <c r="H25" i="99"/>
  <c r="I32" i="97"/>
  <c r="I31" i="97"/>
  <c r="I30" i="97"/>
  <c r="J29" i="97"/>
  <c r="E38" i="97" s="1"/>
  <c r="H29" i="97"/>
  <c r="I28" i="97"/>
  <c r="J27" i="97"/>
  <c r="H27" i="97"/>
  <c r="I26" i="97"/>
  <c r="H25" i="97"/>
  <c r="H32" i="97"/>
  <c r="H31" i="97"/>
  <c r="H30" i="97"/>
  <c r="I29" i="97"/>
  <c r="J28" i="97"/>
  <c r="E37" i="97" s="1"/>
  <c r="H26" i="97"/>
  <c r="I25" i="97"/>
  <c r="J32" i="97"/>
  <c r="J30" i="97"/>
  <c r="I27" i="97"/>
  <c r="E36" i="97" s="1"/>
  <c r="J31" i="97"/>
  <c r="H28" i="97"/>
  <c r="I32" i="95"/>
  <c r="I31" i="95"/>
  <c r="I30" i="95"/>
  <c r="J29" i="95"/>
  <c r="E38" i="95" s="1"/>
  <c r="H29" i="95"/>
  <c r="I28" i="95"/>
  <c r="J27" i="95"/>
  <c r="H27" i="95"/>
  <c r="I26" i="95"/>
  <c r="H25" i="95"/>
  <c r="H32" i="95"/>
  <c r="H31" i="95"/>
  <c r="H30" i="95"/>
  <c r="I29" i="95"/>
  <c r="J28" i="95"/>
  <c r="E37" i="95" s="1"/>
  <c r="H26" i="95"/>
  <c r="I25" i="95"/>
  <c r="J31" i="95"/>
  <c r="H28" i="95"/>
  <c r="J32" i="95"/>
  <c r="I27" i="95"/>
  <c r="E36" i="95" s="1"/>
  <c r="J30" i="95"/>
  <c r="J32" i="93"/>
  <c r="H31" i="93"/>
  <c r="J30" i="93"/>
  <c r="I29" i="93"/>
  <c r="H28" i="93"/>
  <c r="H32" i="93"/>
  <c r="J28" i="93"/>
  <c r="E37" i="93" s="1"/>
  <c r="I27" i="93"/>
  <c r="E36" i="93" s="1"/>
  <c r="H26" i="93"/>
  <c r="I25" i="93"/>
  <c r="I32" i="93"/>
  <c r="H30" i="93"/>
  <c r="J31" i="93"/>
  <c r="H25" i="93"/>
  <c r="H27" i="93"/>
  <c r="I28" i="93"/>
  <c r="J29" i="93"/>
  <c r="E38" i="93" s="1"/>
  <c r="I31" i="93"/>
  <c r="I26" i="93"/>
  <c r="J27" i="93"/>
  <c r="H29" i="93"/>
  <c r="I30" i="93"/>
  <c r="J32" i="91"/>
  <c r="H32" i="91"/>
  <c r="J31" i="91"/>
  <c r="H31" i="91"/>
  <c r="J30" i="91"/>
  <c r="H30" i="91"/>
  <c r="I29" i="91"/>
  <c r="J28" i="91"/>
  <c r="E37" i="91" s="1"/>
  <c r="H28" i="91"/>
  <c r="I27" i="91"/>
  <c r="E36" i="91" s="1"/>
  <c r="H26" i="91"/>
  <c r="I25" i="91"/>
  <c r="H29" i="91"/>
  <c r="I28" i="91"/>
  <c r="J27" i="91"/>
  <c r="H25" i="91"/>
  <c r="I31" i="91"/>
  <c r="J29" i="91"/>
  <c r="E38" i="91" s="1"/>
  <c r="I26" i="91"/>
  <c r="I30" i="91"/>
  <c r="H27" i="91"/>
  <c r="I32" i="91"/>
  <c r="J32" i="89"/>
  <c r="H32" i="89"/>
  <c r="J31" i="89"/>
  <c r="H31" i="89"/>
  <c r="J30" i="89"/>
  <c r="H30" i="89"/>
  <c r="I29" i="89"/>
  <c r="J28" i="89"/>
  <c r="E37" i="89" s="1"/>
  <c r="H28" i="89"/>
  <c r="I27" i="89"/>
  <c r="E36" i="89" s="1"/>
  <c r="H26" i="89"/>
  <c r="I25" i="89"/>
  <c r="H29" i="89"/>
  <c r="I28" i="89"/>
  <c r="J27" i="89"/>
  <c r="H25" i="89"/>
  <c r="I32" i="89"/>
  <c r="I30" i="89"/>
  <c r="H27" i="89"/>
  <c r="I31" i="89"/>
  <c r="J29" i="89"/>
  <c r="E38" i="89" s="1"/>
  <c r="I26" i="89"/>
  <c r="J32" i="87"/>
  <c r="H31" i="87"/>
  <c r="J30" i="87"/>
  <c r="I29" i="87"/>
  <c r="H28" i="87"/>
  <c r="I32" i="87"/>
  <c r="J31" i="87"/>
  <c r="H30" i="87"/>
  <c r="J28" i="87"/>
  <c r="E37" i="87" s="1"/>
  <c r="H26" i="87"/>
  <c r="I25" i="87"/>
  <c r="H32" i="87"/>
  <c r="I27" i="87"/>
  <c r="E36" i="87" s="1"/>
  <c r="H25" i="87"/>
  <c r="H27" i="87"/>
  <c r="I28" i="87"/>
  <c r="J29" i="87"/>
  <c r="E38" i="87" s="1"/>
  <c r="I31" i="87"/>
  <c r="I26" i="87"/>
  <c r="J27" i="87"/>
  <c r="H29" i="87"/>
  <c r="I30" i="87"/>
  <c r="J32" i="85"/>
  <c r="H32" i="85"/>
  <c r="J31" i="85"/>
  <c r="H31" i="85"/>
  <c r="J30" i="85"/>
  <c r="H30" i="85"/>
  <c r="I29" i="85"/>
  <c r="J28" i="85"/>
  <c r="E37" i="85" s="1"/>
  <c r="H28" i="85"/>
  <c r="I27" i="85"/>
  <c r="E36" i="85" s="1"/>
  <c r="H26" i="85"/>
  <c r="I25" i="85"/>
  <c r="I32" i="85"/>
  <c r="I31" i="85"/>
  <c r="I30" i="85"/>
  <c r="J29" i="85"/>
  <c r="E38" i="85" s="1"/>
  <c r="H27" i="85"/>
  <c r="I26" i="85"/>
  <c r="I28" i="85"/>
  <c r="H25" i="85"/>
  <c r="H29" i="85"/>
  <c r="J27" i="85"/>
  <c r="J32" i="83"/>
  <c r="H31" i="83"/>
  <c r="J30" i="83"/>
  <c r="I29" i="83"/>
  <c r="H28" i="83"/>
  <c r="H32" i="83"/>
  <c r="J28" i="83"/>
  <c r="E37" i="83" s="1"/>
  <c r="I27" i="83"/>
  <c r="E36" i="83" s="1"/>
  <c r="H26" i="83"/>
  <c r="I25" i="83"/>
  <c r="I32" i="83"/>
  <c r="H30" i="83"/>
  <c r="J31" i="83"/>
  <c r="H25" i="83"/>
  <c r="H27" i="83"/>
  <c r="I28" i="83"/>
  <c r="J29" i="83"/>
  <c r="E38" i="83" s="1"/>
  <c r="I31" i="83"/>
  <c r="I26" i="83"/>
  <c r="J27" i="83"/>
  <c r="H29" i="83"/>
  <c r="I30" i="83"/>
  <c r="J32" i="81"/>
  <c r="H31" i="81"/>
  <c r="J30" i="81"/>
  <c r="I29" i="81"/>
  <c r="H28" i="81"/>
  <c r="I32" i="81"/>
  <c r="J31" i="81"/>
  <c r="H30" i="81"/>
  <c r="J28" i="81"/>
  <c r="E37" i="81" s="1"/>
  <c r="H26" i="81"/>
  <c r="H32" i="81"/>
  <c r="I27" i="81"/>
  <c r="E36" i="81" s="1"/>
  <c r="I25" i="81"/>
  <c r="H25" i="81"/>
  <c r="H27" i="81"/>
  <c r="I28" i="81"/>
  <c r="J29" i="81"/>
  <c r="E38" i="81" s="1"/>
  <c r="I31" i="81"/>
  <c r="I26" i="81"/>
  <c r="J27" i="81"/>
  <c r="H29" i="81"/>
  <c r="I30" i="81"/>
  <c r="I32" i="79"/>
  <c r="I31" i="79"/>
  <c r="I30" i="79"/>
  <c r="J29" i="79"/>
  <c r="E38" i="79" s="1"/>
  <c r="H29" i="79"/>
  <c r="I28" i="79"/>
  <c r="J27" i="79"/>
  <c r="H27" i="79"/>
  <c r="I26" i="79"/>
  <c r="H25" i="79"/>
  <c r="H32" i="79"/>
  <c r="H31" i="79"/>
  <c r="H30" i="79"/>
  <c r="I29" i="79"/>
  <c r="J28" i="79"/>
  <c r="E37" i="79" s="1"/>
  <c r="H26" i="79"/>
  <c r="I25" i="79"/>
  <c r="J31" i="79"/>
  <c r="H28" i="79"/>
  <c r="J32" i="79"/>
  <c r="J30" i="79"/>
  <c r="I27" i="79"/>
  <c r="E36" i="79" s="1"/>
  <c r="J32" i="77"/>
  <c r="H32" i="77"/>
  <c r="J31" i="77"/>
  <c r="H31" i="77"/>
  <c r="J30" i="77"/>
  <c r="H30" i="77"/>
  <c r="I29" i="77"/>
  <c r="J28" i="77"/>
  <c r="E37" i="77" s="1"/>
  <c r="H28" i="77"/>
  <c r="I27" i="77"/>
  <c r="E36" i="77" s="1"/>
  <c r="H26" i="77"/>
  <c r="I25" i="77"/>
  <c r="H29" i="77"/>
  <c r="I28" i="77"/>
  <c r="J27" i="77"/>
  <c r="H25" i="77"/>
  <c r="I32" i="77"/>
  <c r="I30" i="77"/>
  <c r="H27" i="77"/>
  <c r="I31" i="77"/>
  <c r="J29" i="77"/>
  <c r="E38" i="77" s="1"/>
  <c r="I26" i="77"/>
  <c r="I32" i="75"/>
  <c r="I31" i="75"/>
  <c r="I30" i="75"/>
  <c r="J29" i="75"/>
  <c r="E38" i="75" s="1"/>
  <c r="H29" i="75"/>
  <c r="I28" i="75"/>
  <c r="J27" i="75"/>
  <c r="H27" i="75"/>
  <c r="I26" i="75"/>
  <c r="H25" i="75"/>
  <c r="J32" i="75"/>
  <c r="J31" i="75"/>
  <c r="J30" i="75"/>
  <c r="H28" i="75"/>
  <c r="I27" i="75"/>
  <c r="E36" i="75" s="1"/>
  <c r="H31" i="75"/>
  <c r="I29" i="75"/>
  <c r="H26" i="75"/>
  <c r="H30" i="75"/>
  <c r="H32" i="75"/>
  <c r="J28" i="75"/>
  <c r="E37" i="75" s="1"/>
  <c r="I25" i="75"/>
  <c r="I32" i="73"/>
  <c r="I31" i="73"/>
  <c r="I30" i="73"/>
  <c r="J29" i="73"/>
  <c r="E38" i="73" s="1"/>
  <c r="H29" i="73"/>
  <c r="I28" i="73"/>
  <c r="J27" i="73"/>
  <c r="H27" i="73"/>
  <c r="I26" i="73"/>
  <c r="H25" i="73"/>
  <c r="J32" i="73"/>
  <c r="J31" i="73"/>
  <c r="J30" i="73"/>
  <c r="H28" i="73"/>
  <c r="I27" i="73"/>
  <c r="E36" i="73" s="1"/>
  <c r="H32" i="73"/>
  <c r="H30" i="73"/>
  <c r="J28" i="73"/>
  <c r="E37" i="73" s="1"/>
  <c r="I25" i="73"/>
  <c r="H31" i="73"/>
  <c r="I29" i="73"/>
  <c r="H26" i="73"/>
  <c r="J32" i="71"/>
  <c r="H32" i="71"/>
  <c r="J31" i="71"/>
  <c r="H31" i="71"/>
  <c r="J30" i="71"/>
  <c r="H30" i="71"/>
  <c r="I29" i="71"/>
  <c r="J28" i="71"/>
  <c r="E37" i="71" s="1"/>
  <c r="H28" i="71"/>
  <c r="I27" i="71"/>
  <c r="E36" i="71" s="1"/>
  <c r="H26" i="71"/>
  <c r="I25" i="71"/>
  <c r="H29" i="71"/>
  <c r="I28" i="71"/>
  <c r="J27" i="71"/>
  <c r="H25" i="71"/>
  <c r="I32" i="71"/>
  <c r="I30" i="71"/>
  <c r="H27" i="71"/>
  <c r="I31" i="71"/>
  <c r="J29" i="71"/>
  <c r="E38" i="71" s="1"/>
  <c r="I26" i="71"/>
  <c r="H32" i="69"/>
  <c r="H31" i="69"/>
  <c r="J30" i="69"/>
  <c r="H30" i="69"/>
  <c r="I29" i="69"/>
  <c r="J28" i="69"/>
  <c r="E37" i="69" s="1"/>
  <c r="H28" i="69"/>
  <c r="I27" i="69"/>
  <c r="E36" i="69" s="1"/>
  <c r="H26" i="69"/>
  <c r="I25" i="69"/>
  <c r="H29" i="69"/>
  <c r="I28" i="69"/>
  <c r="J27" i="69"/>
  <c r="H25" i="69"/>
  <c r="I31" i="69"/>
  <c r="J29" i="69"/>
  <c r="E38" i="69" s="1"/>
  <c r="I26" i="69"/>
  <c r="I32" i="69"/>
  <c r="I30" i="69"/>
  <c r="H27" i="69"/>
  <c r="I32" i="67"/>
  <c r="I31" i="67"/>
  <c r="I30" i="67"/>
  <c r="J29" i="67"/>
  <c r="E38" i="67" s="1"/>
  <c r="H29" i="67"/>
  <c r="I28" i="67"/>
  <c r="J27" i="67"/>
  <c r="H27" i="67"/>
  <c r="I26" i="67"/>
  <c r="H25" i="67"/>
  <c r="J32" i="67"/>
  <c r="J31" i="67"/>
  <c r="J30" i="67"/>
  <c r="H28" i="67"/>
  <c r="I27" i="67"/>
  <c r="E36" i="67" s="1"/>
  <c r="H32" i="67"/>
  <c r="H30" i="67"/>
  <c r="J28" i="67"/>
  <c r="E37" i="67" s="1"/>
  <c r="I25" i="67"/>
  <c r="H31" i="67"/>
  <c r="I29" i="67"/>
  <c r="H26" i="67"/>
  <c r="J32" i="65"/>
  <c r="H31" i="65"/>
  <c r="J30" i="65"/>
  <c r="I29" i="65"/>
  <c r="H28" i="65"/>
  <c r="I32" i="65"/>
  <c r="J31" i="65"/>
  <c r="H30" i="65"/>
  <c r="J28" i="65"/>
  <c r="E37" i="65" s="1"/>
  <c r="H26" i="65"/>
  <c r="H32" i="65"/>
  <c r="I27" i="65"/>
  <c r="E36" i="65" s="1"/>
  <c r="I25" i="65"/>
  <c r="H25" i="65"/>
  <c r="H27" i="65"/>
  <c r="I28" i="65"/>
  <c r="J29" i="65"/>
  <c r="E38" i="65" s="1"/>
  <c r="I31" i="65"/>
  <c r="I26" i="65"/>
  <c r="J27" i="65"/>
  <c r="H29" i="65"/>
  <c r="I30" i="65"/>
  <c r="H32" i="63"/>
  <c r="H31" i="63"/>
  <c r="J30" i="63"/>
  <c r="H30" i="63"/>
  <c r="I29" i="63"/>
  <c r="J28" i="63"/>
  <c r="E37" i="63" s="1"/>
  <c r="H28" i="63"/>
  <c r="I27" i="63"/>
  <c r="E36" i="63" s="1"/>
  <c r="H26" i="63"/>
  <c r="I25" i="63"/>
  <c r="I32" i="63"/>
  <c r="I31" i="63"/>
  <c r="I30" i="63"/>
  <c r="J29" i="63"/>
  <c r="E38" i="63" s="1"/>
  <c r="H27" i="63"/>
  <c r="I26" i="63"/>
  <c r="I28" i="63"/>
  <c r="H25" i="63"/>
  <c r="H29" i="63"/>
  <c r="J27" i="63"/>
  <c r="J32" i="61"/>
  <c r="H32" i="61"/>
  <c r="J31" i="61"/>
  <c r="H31" i="61"/>
  <c r="J30" i="61"/>
  <c r="H30" i="61"/>
  <c r="I29" i="61"/>
  <c r="J28" i="61"/>
  <c r="E37" i="61" s="1"/>
  <c r="H28" i="61"/>
  <c r="I27" i="61"/>
  <c r="E36" i="61" s="1"/>
  <c r="H26" i="61"/>
  <c r="I25" i="61"/>
  <c r="I32" i="61"/>
  <c r="I31" i="61"/>
  <c r="I30" i="61"/>
  <c r="J29" i="61"/>
  <c r="E38" i="61" s="1"/>
  <c r="H27" i="61"/>
  <c r="I26" i="61"/>
  <c r="H29" i="61"/>
  <c r="J27" i="61"/>
  <c r="I28" i="61"/>
  <c r="H25" i="61"/>
  <c r="I32" i="58"/>
  <c r="H32" i="58"/>
  <c r="H30" i="58"/>
  <c r="J28" i="58"/>
  <c r="E37" i="58" s="1"/>
  <c r="I27" i="58"/>
  <c r="E36" i="58" s="1"/>
  <c r="H26" i="58"/>
  <c r="I25" i="58"/>
  <c r="H31" i="58"/>
  <c r="I29" i="58"/>
  <c r="J30" i="58"/>
  <c r="H28" i="58"/>
  <c r="I26" i="58"/>
  <c r="J27" i="58"/>
  <c r="H29" i="58"/>
  <c r="I30" i="58"/>
  <c r="H25" i="58"/>
  <c r="H27" i="58"/>
  <c r="I28" i="58"/>
  <c r="J29" i="58"/>
  <c r="E38" i="58" s="1"/>
  <c r="I31" i="58"/>
  <c r="J32" i="56"/>
  <c r="H31" i="56"/>
  <c r="J30" i="56"/>
  <c r="I29" i="56"/>
  <c r="H28" i="56"/>
  <c r="H32" i="56"/>
  <c r="J28" i="56"/>
  <c r="E37" i="56" s="1"/>
  <c r="I27" i="56"/>
  <c r="E36" i="56" s="1"/>
  <c r="H26" i="56"/>
  <c r="I25" i="56"/>
  <c r="I32" i="56"/>
  <c r="H30" i="56"/>
  <c r="J31" i="56"/>
  <c r="H25" i="56"/>
  <c r="H27" i="56"/>
  <c r="I28" i="56"/>
  <c r="J29" i="56"/>
  <c r="E38" i="56" s="1"/>
  <c r="I31" i="56"/>
  <c r="I26" i="56"/>
  <c r="J27" i="56"/>
  <c r="H29" i="56"/>
  <c r="I30" i="56"/>
  <c r="I32" i="54"/>
  <c r="H32" i="54"/>
  <c r="J31" i="54"/>
  <c r="H30" i="54"/>
  <c r="J28" i="54"/>
  <c r="E37" i="54" s="1"/>
  <c r="I27" i="54"/>
  <c r="E36" i="54" s="1"/>
  <c r="H26" i="54"/>
  <c r="I25" i="54"/>
  <c r="J30" i="54"/>
  <c r="I29" i="54"/>
  <c r="H28" i="54"/>
  <c r="H31" i="54"/>
  <c r="J32" i="54"/>
  <c r="I26" i="54"/>
  <c r="J27" i="54"/>
  <c r="H29" i="54"/>
  <c r="I30" i="54"/>
  <c r="H25" i="54"/>
  <c r="H27" i="54"/>
  <c r="I28" i="54"/>
  <c r="J29" i="54"/>
  <c r="E38" i="54" s="1"/>
  <c r="I31" i="54"/>
  <c r="J32" i="52"/>
  <c r="H32" i="52"/>
  <c r="J31" i="52"/>
  <c r="H31" i="52"/>
  <c r="J30" i="52"/>
  <c r="H30" i="52"/>
  <c r="I29" i="52"/>
  <c r="J28" i="52"/>
  <c r="E37" i="52" s="1"/>
  <c r="H28" i="52"/>
  <c r="I27" i="52"/>
  <c r="E36" i="52" s="1"/>
  <c r="H26" i="52"/>
  <c r="I25" i="52"/>
  <c r="I32" i="52"/>
  <c r="I31" i="52"/>
  <c r="I30" i="52"/>
  <c r="J29" i="52"/>
  <c r="E38" i="52" s="1"/>
  <c r="H27" i="52"/>
  <c r="I26" i="52"/>
  <c r="I28" i="52"/>
  <c r="H25" i="52"/>
  <c r="H29" i="52"/>
  <c r="J27" i="52"/>
  <c r="J32" i="50"/>
  <c r="H32" i="50"/>
  <c r="J31" i="50"/>
  <c r="H31" i="50"/>
  <c r="J30" i="50"/>
  <c r="H30" i="50"/>
  <c r="I29" i="50"/>
  <c r="J28" i="50"/>
  <c r="E37" i="50" s="1"/>
  <c r="H28" i="50"/>
  <c r="I27" i="50"/>
  <c r="E36" i="50" s="1"/>
  <c r="H26" i="50"/>
  <c r="I25" i="50"/>
  <c r="I32" i="50"/>
  <c r="I31" i="50"/>
  <c r="I30" i="50"/>
  <c r="J29" i="50"/>
  <c r="E38" i="50" s="1"/>
  <c r="H27" i="50"/>
  <c r="I26" i="50"/>
  <c r="H29" i="50"/>
  <c r="J27" i="50"/>
  <c r="I28" i="50"/>
  <c r="H25" i="50"/>
  <c r="J32" i="48"/>
  <c r="H32" i="48"/>
  <c r="J31" i="48"/>
  <c r="H31" i="48"/>
  <c r="J30" i="48"/>
  <c r="H30" i="48"/>
  <c r="I29" i="48"/>
  <c r="J28" i="48"/>
  <c r="E37" i="48" s="1"/>
  <c r="H28" i="48"/>
  <c r="I27" i="48"/>
  <c r="E36" i="48" s="1"/>
  <c r="H26" i="48"/>
  <c r="I25" i="48"/>
  <c r="I32" i="48"/>
  <c r="I31" i="48"/>
  <c r="I30" i="48"/>
  <c r="J29" i="48"/>
  <c r="E38" i="48" s="1"/>
  <c r="H27" i="48"/>
  <c r="I26" i="48"/>
  <c r="I28" i="48"/>
  <c r="H25" i="48"/>
  <c r="H29" i="48"/>
  <c r="J27" i="48"/>
  <c r="H32" i="46"/>
  <c r="H31" i="46"/>
  <c r="J30" i="46"/>
  <c r="H30" i="46"/>
  <c r="I29" i="46"/>
  <c r="J28" i="46"/>
  <c r="E37" i="46" s="1"/>
  <c r="H28" i="46"/>
  <c r="I27" i="46"/>
  <c r="E36" i="46" s="1"/>
  <c r="H26" i="46"/>
  <c r="I25" i="46"/>
  <c r="I32" i="46"/>
  <c r="I31" i="46"/>
  <c r="I30" i="46"/>
  <c r="J29" i="46"/>
  <c r="E38" i="46" s="1"/>
  <c r="H27" i="46"/>
  <c r="I26" i="46"/>
  <c r="H29" i="46"/>
  <c r="J27" i="46"/>
  <c r="I28" i="46"/>
  <c r="H25" i="46"/>
  <c r="I32" i="44"/>
  <c r="I31" i="44"/>
  <c r="I30" i="44"/>
  <c r="J29" i="44"/>
  <c r="E38" i="44" s="1"/>
  <c r="H29" i="44"/>
  <c r="I28" i="44"/>
  <c r="J27" i="44"/>
  <c r="H27" i="44"/>
  <c r="I26" i="44"/>
  <c r="H25" i="44"/>
  <c r="H32" i="44"/>
  <c r="H31" i="44"/>
  <c r="H30" i="44"/>
  <c r="I29" i="44"/>
  <c r="J28" i="44"/>
  <c r="E37" i="44" s="1"/>
  <c r="H26" i="44"/>
  <c r="I25" i="44"/>
  <c r="J32" i="44"/>
  <c r="J31" i="44"/>
  <c r="J30" i="44"/>
  <c r="H28" i="44"/>
  <c r="I27" i="44"/>
  <c r="E36" i="44" s="1"/>
  <c r="J32" i="42"/>
  <c r="H32" i="42"/>
  <c r="J31" i="42"/>
  <c r="H31" i="42"/>
  <c r="J30" i="42"/>
  <c r="H30" i="42"/>
  <c r="I29" i="42"/>
  <c r="J28" i="42"/>
  <c r="E37" i="42" s="1"/>
  <c r="H28" i="42"/>
  <c r="I27" i="42"/>
  <c r="E36" i="42" s="1"/>
  <c r="H26" i="42"/>
  <c r="I25" i="42"/>
  <c r="H29" i="42"/>
  <c r="I28" i="42"/>
  <c r="J27" i="42"/>
  <c r="H25" i="42"/>
  <c r="I32" i="42"/>
  <c r="I31" i="42"/>
  <c r="I30" i="42"/>
  <c r="J29" i="42"/>
  <c r="E38" i="42" s="1"/>
  <c r="H27" i="42"/>
  <c r="I26" i="42"/>
  <c r="J32" i="40"/>
  <c r="H32" i="40"/>
  <c r="J31" i="40"/>
  <c r="H31" i="40"/>
  <c r="J30" i="40"/>
  <c r="H30" i="40"/>
  <c r="I29" i="40"/>
  <c r="J28" i="40"/>
  <c r="E37" i="40" s="1"/>
  <c r="H28" i="40"/>
  <c r="I27" i="40"/>
  <c r="E36" i="40" s="1"/>
  <c r="H26" i="40"/>
  <c r="I25" i="40"/>
  <c r="H29" i="40"/>
  <c r="I28" i="40"/>
  <c r="J27" i="40"/>
  <c r="H25" i="40"/>
  <c r="I32" i="40"/>
  <c r="I31" i="40"/>
  <c r="I30" i="40"/>
  <c r="J29" i="40"/>
  <c r="E38" i="40" s="1"/>
  <c r="H27" i="40"/>
  <c r="I26" i="40"/>
  <c r="H32" i="38"/>
  <c r="H31" i="38"/>
  <c r="J30" i="38"/>
  <c r="H30" i="38"/>
  <c r="I29" i="38"/>
  <c r="E37" i="38"/>
  <c r="I27" i="38"/>
  <c r="E36" i="38" s="1"/>
  <c r="H26" i="38"/>
  <c r="I25" i="38"/>
  <c r="H29" i="38"/>
  <c r="J27" i="38"/>
  <c r="H25" i="38"/>
  <c r="I32" i="38"/>
  <c r="I31" i="38"/>
  <c r="I30" i="38"/>
  <c r="J29" i="38"/>
  <c r="E38" i="38" s="1"/>
  <c r="H27" i="38"/>
  <c r="I26" i="38"/>
  <c r="H32" i="36"/>
  <c r="H31" i="36"/>
  <c r="J30" i="36"/>
  <c r="H30" i="36"/>
  <c r="I29" i="36"/>
  <c r="J28" i="36"/>
  <c r="E37" i="36" s="1"/>
  <c r="H28" i="36"/>
  <c r="I27" i="36"/>
  <c r="E36" i="36" s="1"/>
  <c r="H26" i="36"/>
  <c r="I25" i="36"/>
  <c r="H29" i="36"/>
  <c r="I28" i="36"/>
  <c r="J27" i="36"/>
  <c r="H25" i="36"/>
  <c r="I32" i="36"/>
  <c r="I31" i="36"/>
  <c r="I30" i="36"/>
  <c r="J29" i="36"/>
  <c r="E38" i="36" s="1"/>
  <c r="H27" i="36"/>
  <c r="I26" i="36"/>
  <c r="I32" i="34"/>
  <c r="I31" i="34"/>
  <c r="I30" i="34"/>
  <c r="J29" i="34"/>
  <c r="E38" i="34" s="1"/>
  <c r="H29" i="34"/>
  <c r="I28" i="34"/>
  <c r="J27" i="34"/>
  <c r="H27" i="34"/>
  <c r="I26" i="34"/>
  <c r="H25" i="34"/>
  <c r="J32" i="34"/>
  <c r="J31" i="34"/>
  <c r="J30" i="34"/>
  <c r="H28" i="34"/>
  <c r="I27" i="34"/>
  <c r="E36" i="34" s="1"/>
  <c r="H32" i="34"/>
  <c r="H31" i="34"/>
  <c r="H30" i="34"/>
  <c r="I29" i="34"/>
  <c r="J28" i="34"/>
  <c r="E37" i="34" s="1"/>
  <c r="H26" i="34"/>
  <c r="I25" i="34"/>
  <c r="I32" i="32"/>
  <c r="H32" i="32"/>
  <c r="J31" i="32"/>
  <c r="H30" i="32"/>
  <c r="J28" i="32"/>
  <c r="E37" i="32" s="1"/>
  <c r="I27" i="32"/>
  <c r="E36" i="32" s="1"/>
  <c r="H26" i="32"/>
  <c r="I25" i="32"/>
  <c r="J32" i="32"/>
  <c r="H31" i="32"/>
  <c r="J30" i="32"/>
  <c r="I29" i="32"/>
  <c r="H28" i="32"/>
  <c r="H25" i="32"/>
  <c r="H27" i="32"/>
  <c r="I28" i="32"/>
  <c r="J29" i="32"/>
  <c r="E38" i="32" s="1"/>
  <c r="I31" i="32"/>
  <c r="I26" i="32"/>
  <c r="J27" i="32"/>
  <c r="H29" i="32"/>
  <c r="I30" i="32"/>
  <c r="J32" i="30"/>
  <c r="H32" i="30"/>
  <c r="J31" i="30"/>
  <c r="H31" i="30"/>
  <c r="J30" i="30"/>
  <c r="H30" i="30"/>
  <c r="I29" i="30"/>
  <c r="J28" i="30"/>
  <c r="E37" i="30" s="1"/>
  <c r="H28" i="30"/>
  <c r="I27" i="30"/>
  <c r="E36" i="30" s="1"/>
  <c r="H26" i="30"/>
  <c r="I25" i="30"/>
  <c r="H29" i="30"/>
  <c r="I28" i="30"/>
  <c r="J27" i="30"/>
  <c r="H25" i="30"/>
  <c r="I32" i="30"/>
  <c r="I31" i="30"/>
  <c r="I30" i="30"/>
  <c r="J29" i="30"/>
  <c r="E38" i="30" s="1"/>
  <c r="H27" i="30"/>
  <c r="I26" i="30"/>
  <c r="I32" i="28"/>
  <c r="H32" i="28"/>
  <c r="H30" i="28"/>
  <c r="J28" i="28"/>
  <c r="E37" i="28" s="1"/>
  <c r="J27" i="28"/>
  <c r="H27" i="28"/>
  <c r="I26" i="28"/>
  <c r="H25" i="28"/>
  <c r="J30" i="28"/>
  <c r="I29" i="28"/>
  <c r="H28" i="28"/>
  <c r="I27" i="28"/>
  <c r="E36" i="28" s="1"/>
  <c r="H31" i="28"/>
  <c r="H26" i="28"/>
  <c r="I25" i="28"/>
  <c r="I28" i="28"/>
  <c r="J29" i="28"/>
  <c r="E38" i="28" s="1"/>
  <c r="I31" i="28"/>
  <c r="H29" i="28"/>
  <c r="I30" i="28"/>
  <c r="J32" i="26"/>
  <c r="H31" i="26"/>
  <c r="J30" i="26"/>
  <c r="I29" i="26"/>
  <c r="H28" i="26"/>
  <c r="H25" i="26"/>
  <c r="I32" i="26"/>
  <c r="H32" i="26"/>
  <c r="J31" i="26"/>
  <c r="H30" i="26"/>
  <c r="J28" i="26"/>
  <c r="E37" i="26" s="1"/>
  <c r="I27" i="26"/>
  <c r="E36" i="26" s="1"/>
  <c r="H26" i="26"/>
  <c r="I25" i="26"/>
  <c r="I26" i="26"/>
  <c r="J27" i="26"/>
  <c r="H29" i="26"/>
  <c r="I30" i="26"/>
  <c r="H27" i="26"/>
  <c r="I28" i="26"/>
  <c r="J29" i="26"/>
  <c r="E38" i="26" s="1"/>
  <c r="I31" i="26"/>
  <c r="J32" i="24"/>
  <c r="H31" i="24"/>
  <c r="J30" i="24"/>
  <c r="I29" i="24"/>
  <c r="H28" i="24"/>
  <c r="I32" i="24"/>
  <c r="H32" i="24"/>
  <c r="J31" i="24"/>
  <c r="H30" i="24"/>
  <c r="J28" i="24"/>
  <c r="E37" i="24" s="1"/>
  <c r="I27" i="24"/>
  <c r="E36" i="24" s="1"/>
  <c r="H26" i="24"/>
  <c r="I25" i="24"/>
  <c r="H25" i="24"/>
  <c r="H27" i="24"/>
  <c r="I28" i="24"/>
  <c r="J29" i="24"/>
  <c r="E38" i="24" s="1"/>
  <c r="I31" i="24"/>
  <c r="I26" i="24"/>
  <c r="J27" i="24"/>
  <c r="H29" i="24"/>
  <c r="I30" i="24"/>
  <c r="J32" i="22"/>
  <c r="H32" i="22"/>
  <c r="J31" i="22"/>
  <c r="H31" i="22"/>
  <c r="J30" i="22"/>
  <c r="H30" i="22"/>
  <c r="I29" i="22"/>
  <c r="J28" i="22"/>
  <c r="E37" i="22" s="1"/>
  <c r="H28" i="22"/>
  <c r="I27" i="22"/>
  <c r="E36" i="22" s="1"/>
  <c r="H26" i="22"/>
  <c r="I25" i="22"/>
  <c r="I32" i="22"/>
  <c r="I31" i="22"/>
  <c r="I30" i="22"/>
  <c r="J29" i="22"/>
  <c r="E38" i="22" s="1"/>
  <c r="H29" i="22"/>
  <c r="I28" i="22"/>
  <c r="J27" i="22"/>
  <c r="H27" i="22"/>
  <c r="I26" i="22"/>
  <c r="H25" i="22"/>
  <c r="J32" i="20"/>
  <c r="H32" i="20"/>
  <c r="J31" i="20"/>
  <c r="H31" i="20"/>
  <c r="J30" i="20"/>
  <c r="H30" i="20"/>
  <c r="I29" i="20"/>
  <c r="J28" i="20"/>
  <c r="E37" i="20" s="1"/>
  <c r="H28" i="20"/>
  <c r="I27" i="20"/>
  <c r="E36" i="20" s="1"/>
  <c r="H26" i="20"/>
  <c r="I25" i="20"/>
  <c r="I32" i="20"/>
  <c r="I31" i="20"/>
  <c r="I30" i="20"/>
  <c r="J29" i="20"/>
  <c r="E38" i="20" s="1"/>
  <c r="H29" i="20"/>
  <c r="I28" i="20"/>
  <c r="J27" i="20"/>
  <c r="H27" i="20"/>
  <c r="I26" i="20"/>
  <c r="H25" i="20"/>
  <c r="I32" i="18"/>
  <c r="I31" i="18"/>
  <c r="I30" i="18"/>
  <c r="J29" i="18"/>
  <c r="E38" i="18" s="1"/>
  <c r="H29" i="18"/>
  <c r="I28" i="18"/>
  <c r="J27" i="18"/>
  <c r="H27" i="18"/>
  <c r="I26" i="18"/>
  <c r="H25" i="18"/>
  <c r="J32" i="18"/>
  <c r="H32" i="18"/>
  <c r="J31" i="18"/>
  <c r="H31" i="18"/>
  <c r="J30" i="18"/>
  <c r="H30" i="18"/>
  <c r="I29" i="18"/>
  <c r="J28" i="18"/>
  <c r="E37" i="18" s="1"/>
  <c r="H28" i="18"/>
  <c r="I27" i="18"/>
  <c r="E36" i="18" s="1"/>
  <c r="H26" i="18"/>
  <c r="I25" i="18"/>
  <c r="J32" i="16"/>
  <c r="H32" i="16"/>
  <c r="J31" i="16"/>
  <c r="H31" i="16"/>
  <c r="J30" i="16"/>
  <c r="H30" i="16"/>
  <c r="I29" i="16"/>
  <c r="J28" i="16"/>
  <c r="E37" i="16" s="1"/>
  <c r="H28" i="16"/>
  <c r="I27" i="16"/>
  <c r="E36" i="16" s="1"/>
  <c r="H26" i="16"/>
  <c r="I25" i="16"/>
  <c r="I32" i="16"/>
  <c r="I31" i="16"/>
  <c r="I30" i="16"/>
  <c r="J29" i="16"/>
  <c r="E38" i="16" s="1"/>
  <c r="H29" i="16"/>
  <c r="I28" i="16"/>
  <c r="J27" i="16"/>
  <c r="H27" i="16"/>
  <c r="I26" i="16"/>
  <c r="H25" i="16"/>
  <c r="I29" i="14"/>
  <c r="H28" i="14"/>
  <c r="I32" i="14"/>
  <c r="J28" i="14"/>
  <c r="E37" i="14" s="1"/>
  <c r="I27" i="14"/>
  <c r="E36" i="14" s="1"/>
  <c r="H26" i="14"/>
  <c r="I25" i="14"/>
  <c r="H30" i="14"/>
  <c r="H31" i="14"/>
  <c r="H32" i="14"/>
  <c r="H25" i="14"/>
  <c r="H27" i="14"/>
  <c r="I28" i="14"/>
  <c r="J29" i="14"/>
  <c r="E38" i="14" s="1"/>
  <c r="I31" i="14"/>
  <c r="J30" i="14"/>
  <c r="J31" i="14"/>
  <c r="J32" i="14"/>
  <c r="I26" i="14"/>
  <c r="J27" i="14"/>
  <c r="H29" i="14"/>
  <c r="I30" i="14"/>
  <c r="I34" i="12"/>
  <c r="H34" i="12"/>
  <c r="H32" i="12"/>
  <c r="J30" i="12"/>
  <c r="E39" i="12" s="1"/>
  <c r="I29" i="12"/>
  <c r="E38" i="12" s="1"/>
  <c r="H28" i="12"/>
  <c r="I27" i="12"/>
  <c r="J32" i="12"/>
  <c r="I31" i="12"/>
  <c r="H30" i="12"/>
  <c r="H33" i="12"/>
  <c r="I28" i="12"/>
  <c r="J29" i="12"/>
  <c r="H31" i="12"/>
  <c r="I32" i="12"/>
  <c r="H27" i="12"/>
  <c r="H29" i="12"/>
  <c r="I30" i="12"/>
  <c r="J31" i="12"/>
  <c r="E40" i="12" s="1"/>
  <c r="I33" i="12"/>
  <c r="I33" i="10"/>
  <c r="I32" i="10"/>
  <c r="I31" i="10"/>
  <c r="J30" i="10"/>
  <c r="E39" i="10" s="1"/>
  <c r="H30" i="10"/>
  <c r="I29" i="10"/>
  <c r="J28" i="10"/>
  <c r="H28" i="10"/>
  <c r="I27" i="10"/>
  <c r="H26" i="10"/>
  <c r="J33" i="10"/>
  <c r="J32" i="10"/>
  <c r="J31" i="10"/>
  <c r="H29" i="10"/>
  <c r="I28" i="10"/>
  <c r="E37" i="10" s="1"/>
  <c r="H33" i="10"/>
  <c r="H32" i="10"/>
  <c r="H31" i="10"/>
  <c r="I30" i="10"/>
  <c r="J29" i="10"/>
  <c r="E38" i="10" s="1"/>
  <c r="H27" i="10"/>
  <c r="I26" i="10"/>
  <c r="I32" i="3"/>
  <c r="I31" i="3"/>
  <c r="I30" i="3"/>
  <c r="J29" i="3"/>
  <c r="E38" i="3" s="1"/>
  <c r="H29" i="3"/>
  <c r="I28" i="3"/>
  <c r="J27" i="3"/>
  <c r="H27" i="3"/>
  <c r="I26" i="3"/>
  <c r="H25" i="3"/>
  <c r="H32" i="3"/>
  <c r="H31" i="3"/>
  <c r="H30" i="3"/>
  <c r="I29" i="3"/>
  <c r="J28" i="3"/>
  <c r="E37" i="3" s="1"/>
  <c r="H26" i="3"/>
  <c r="I25" i="3"/>
  <c r="J30" i="3"/>
  <c r="H28" i="3"/>
  <c r="I27" i="3"/>
  <c r="E36" i="3" s="1"/>
  <c r="C33" i="10"/>
  <c r="C32" i="10"/>
  <c r="D31" i="10"/>
  <c r="C30" i="10"/>
  <c r="D29" i="10"/>
  <c r="D28" i="10"/>
  <c r="E27" i="10"/>
  <c r="C27" i="10"/>
  <c r="D26" i="10"/>
  <c r="E25" i="10"/>
  <c r="C25" i="10"/>
  <c r="C31" i="10"/>
  <c r="D30" i="10"/>
  <c r="C28" i="10"/>
  <c r="D27" i="10"/>
  <c r="E26" i="10"/>
  <c r="D25" i="10"/>
  <c r="C29" i="10"/>
  <c r="E28" i="10"/>
  <c r="C26" i="10"/>
  <c r="C32" i="14"/>
  <c r="D30" i="14"/>
  <c r="C29" i="14"/>
  <c r="C28" i="14"/>
  <c r="E27" i="14"/>
  <c r="C27" i="14"/>
  <c r="E26" i="14"/>
  <c r="C26" i="14"/>
  <c r="E25" i="14"/>
  <c r="C25" i="14"/>
  <c r="D24" i="14"/>
  <c r="C31" i="14"/>
  <c r="C30" i="14"/>
  <c r="D29" i="14"/>
  <c r="D28" i="14"/>
  <c r="D27" i="14"/>
  <c r="D26" i="14"/>
  <c r="D25" i="14"/>
  <c r="E24" i="14"/>
  <c r="C24" i="14"/>
  <c r="C30" i="20"/>
  <c r="D29" i="20"/>
  <c r="C28" i="20"/>
  <c r="E27" i="20"/>
  <c r="C27" i="20"/>
  <c r="D26" i="20"/>
  <c r="E25" i="20"/>
  <c r="C25" i="20"/>
  <c r="D24" i="20"/>
  <c r="C32" i="20"/>
  <c r="C31" i="20"/>
  <c r="D30" i="20"/>
  <c r="C29" i="20"/>
  <c r="D28" i="20"/>
  <c r="D27" i="20"/>
  <c r="E26" i="20"/>
  <c r="C26" i="20"/>
  <c r="D25" i="20"/>
  <c r="E24" i="20"/>
  <c r="C24" i="20"/>
  <c r="C30" i="22"/>
  <c r="D29" i="22"/>
  <c r="C28" i="22"/>
  <c r="E27" i="22"/>
  <c r="C27" i="22"/>
  <c r="D26" i="22"/>
  <c r="E25" i="22"/>
  <c r="C25" i="22"/>
  <c r="D24" i="22"/>
  <c r="C32" i="22"/>
  <c r="C31" i="22"/>
  <c r="D30" i="22"/>
  <c r="C29" i="22"/>
  <c r="D28" i="22"/>
  <c r="D27" i="22"/>
  <c r="E26" i="22"/>
  <c r="C26" i="22"/>
  <c r="D25" i="22"/>
  <c r="E24" i="22"/>
  <c r="C24" i="22"/>
  <c r="C32" i="24"/>
  <c r="D30" i="24"/>
  <c r="C29" i="24"/>
  <c r="C28" i="24"/>
  <c r="E27" i="24"/>
  <c r="C27" i="24"/>
  <c r="E26" i="24"/>
  <c r="C26" i="24"/>
  <c r="E25" i="24"/>
  <c r="C25" i="24"/>
  <c r="D24" i="24"/>
  <c r="C31" i="24"/>
  <c r="C30" i="24"/>
  <c r="D29" i="24"/>
  <c r="D28" i="24"/>
  <c r="D27" i="24"/>
  <c r="D26" i="24"/>
  <c r="D25" i="24"/>
  <c r="E24" i="24"/>
  <c r="C24" i="24"/>
  <c r="C32" i="26"/>
  <c r="D30" i="26"/>
  <c r="C29" i="26"/>
  <c r="C28" i="26"/>
  <c r="E27" i="26"/>
  <c r="C27" i="26"/>
  <c r="E26" i="26"/>
  <c r="C26" i="26"/>
  <c r="D25" i="26"/>
  <c r="E24" i="26"/>
  <c r="C24" i="26"/>
  <c r="C31" i="26"/>
  <c r="C30" i="26"/>
  <c r="D29" i="26"/>
  <c r="D28" i="26"/>
  <c r="D27" i="26"/>
  <c r="D26" i="26"/>
  <c r="E25" i="26"/>
  <c r="C25" i="26"/>
  <c r="D24" i="26"/>
  <c r="C31" i="28"/>
  <c r="C30" i="28"/>
  <c r="D29" i="28"/>
  <c r="D28" i="28"/>
  <c r="D27" i="28"/>
  <c r="E26" i="28"/>
  <c r="C26" i="28"/>
  <c r="D25" i="28"/>
  <c r="E24" i="28"/>
  <c r="C24" i="28"/>
  <c r="C32" i="28"/>
  <c r="C27" i="28"/>
  <c r="D26" i="28"/>
  <c r="E25" i="28"/>
  <c r="D24" i="28"/>
  <c r="D30" i="28"/>
  <c r="C29" i="28"/>
  <c r="C28" i="28"/>
  <c r="E27" i="28"/>
  <c r="C25" i="28"/>
  <c r="C30" i="30"/>
  <c r="D29" i="30"/>
  <c r="C28" i="30"/>
  <c r="E27" i="30"/>
  <c r="C27" i="30"/>
  <c r="D26" i="30"/>
  <c r="E25" i="30"/>
  <c r="C25" i="30"/>
  <c r="D24" i="30"/>
  <c r="C32" i="30"/>
  <c r="C31" i="30"/>
  <c r="D30" i="30"/>
  <c r="D27" i="30"/>
  <c r="E26" i="30"/>
  <c r="E24" i="30"/>
  <c r="C29" i="30"/>
  <c r="D28" i="30"/>
  <c r="C26" i="30"/>
  <c r="D25" i="30"/>
  <c r="C24" i="30"/>
  <c r="C31" i="32"/>
  <c r="C30" i="32"/>
  <c r="D29" i="32"/>
  <c r="D28" i="32"/>
  <c r="D27" i="32"/>
  <c r="D26" i="32"/>
  <c r="D25" i="32"/>
  <c r="E24" i="32"/>
  <c r="C24" i="32"/>
  <c r="D30" i="32"/>
  <c r="C29" i="32"/>
  <c r="C28" i="32"/>
  <c r="C27" i="32"/>
  <c r="C26" i="32"/>
  <c r="C25" i="32"/>
  <c r="C32" i="32"/>
  <c r="E27" i="32"/>
  <c r="E26" i="32"/>
  <c r="E25" i="32"/>
  <c r="D24" i="32"/>
  <c r="C32" i="34"/>
  <c r="C31" i="34"/>
  <c r="D30" i="34"/>
  <c r="C29" i="34"/>
  <c r="D28" i="34"/>
  <c r="D27" i="34"/>
  <c r="E26" i="34"/>
  <c r="C26" i="34"/>
  <c r="D25" i="34"/>
  <c r="E24" i="34"/>
  <c r="C24" i="34"/>
  <c r="C30" i="34"/>
  <c r="D29" i="34"/>
  <c r="C27" i="34"/>
  <c r="D26" i="34"/>
  <c r="E25" i="34"/>
  <c r="D24" i="34"/>
  <c r="C28" i="34"/>
  <c r="E27" i="34"/>
  <c r="C25" i="34"/>
  <c r="C30" i="36"/>
  <c r="D29" i="36"/>
  <c r="C28" i="36"/>
  <c r="E27" i="36"/>
  <c r="C27" i="36"/>
  <c r="D26" i="36"/>
  <c r="E25" i="36"/>
  <c r="C25" i="36"/>
  <c r="D24" i="36"/>
  <c r="C32" i="36"/>
  <c r="C31" i="36"/>
  <c r="D30" i="36"/>
  <c r="D27" i="36"/>
  <c r="E26" i="36"/>
  <c r="E24" i="36"/>
  <c r="C29" i="36"/>
  <c r="D28" i="36"/>
  <c r="C26" i="36"/>
  <c r="D25" i="36"/>
  <c r="C24" i="36"/>
  <c r="C30" i="38"/>
  <c r="D29" i="38"/>
  <c r="C28" i="38"/>
  <c r="E27" i="38"/>
  <c r="C27" i="38"/>
  <c r="D26" i="38"/>
  <c r="E25" i="38"/>
  <c r="C25" i="38"/>
  <c r="D24" i="38"/>
  <c r="C32" i="38"/>
  <c r="C31" i="38"/>
  <c r="D30" i="38"/>
  <c r="D27" i="38"/>
  <c r="E26" i="38"/>
  <c r="E24" i="38"/>
  <c r="C29" i="38"/>
  <c r="D28" i="38"/>
  <c r="C26" i="38"/>
  <c r="D25" i="38"/>
  <c r="C24" i="38"/>
  <c r="C30" i="40"/>
  <c r="D29" i="40"/>
  <c r="C28" i="40"/>
  <c r="E27" i="40"/>
  <c r="C27" i="40"/>
  <c r="D26" i="40"/>
  <c r="E25" i="40"/>
  <c r="C25" i="40"/>
  <c r="D24" i="40"/>
  <c r="C32" i="40"/>
  <c r="C31" i="40"/>
  <c r="D30" i="40"/>
  <c r="D27" i="40"/>
  <c r="E26" i="40"/>
  <c r="E24" i="40"/>
  <c r="C29" i="40"/>
  <c r="D28" i="40"/>
  <c r="C26" i="40"/>
  <c r="D25" i="40"/>
  <c r="C24" i="40"/>
  <c r="C30" i="42"/>
  <c r="D29" i="42"/>
  <c r="C28" i="42"/>
  <c r="E27" i="42"/>
  <c r="C27" i="42"/>
  <c r="D26" i="42"/>
  <c r="E25" i="42"/>
  <c r="C25" i="42"/>
  <c r="D24" i="42"/>
  <c r="C32" i="42"/>
  <c r="C31" i="42"/>
  <c r="D30" i="42"/>
  <c r="D27" i="42"/>
  <c r="E26" i="42"/>
  <c r="E24" i="42"/>
  <c r="C29" i="42"/>
  <c r="D28" i="42"/>
  <c r="C26" i="42"/>
  <c r="D25" i="42"/>
  <c r="C24" i="42"/>
  <c r="C32" i="44"/>
  <c r="C31" i="44"/>
  <c r="D30" i="44"/>
  <c r="C29" i="44"/>
  <c r="D28" i="44"/>
  <c r="D27" i="44"/>
  <c r="E26" i="44"/>
  <c r="C26" i="44"/>
  <c r="D25" i="44"/>
  <c r="E24" i="44"/>
  <c r="C24" i="44"/>
  <c r="C28" i="44"/>
  <c r="E27" i="44"/>
  <c r="C25" i="44"/>
  <c r="C30" i="44"/>
  <c r="D29" i="44"/>
  <c r="C27" i="44"/>
  <c r="D26" i="44"/>
  <c r="E25" i="44"/>
  <c r="D24" i="44"/>
  <c r="C30" i="46"/>
  <c r="D29" i="46"/>
  <c r="C28" i="46"/>
  <c r="E27" i="46"/>
  <c r="C27" i="46"/>
  <c r="D26" i="46"/>
  <c r="E25" i="46"/>
  <c r="C25" i="46"/>
  <c r="D24" i="46"/>
  <c r="C29" i="46"/>
  <c r="D28" i="46"/>
  <c r="C26" i="46"/>
  <c r="D25" i="46"/>
  <c r="C24" i="46"/>
  <c r="C31" i="46"/>
  <c r="E26" i="46"/>
  <c r="E24" i="46"/>
  <c r="C32" i="46"/>
  <c r="D30" i="46"/>
  <c r="D27" i="46"/>
  <c r="C30" i="48"/>
  <c r="D29" i="48"/>
  <c r="C28" i="48"/>
  <c r="E27" i="48"/>
  <c r="C27" i="48"/>
  <c r="D26" i="48"/>
  <c r="E25" i="48"/>
  <c r="C25" i="48"/>
  <c r="D24" i="48"/>
  <c r="C29" i="48"/>
  <c r="D28" i="48"/>
  <c r="C26" i="48"/>
  <c r="D25" i="48"/>
  <c r="C24" i="48"/>
  <c r="C32" i="48"/>
  <c r="D30" i="48"/>
  <c r="D27" i="48"/>
  <c r="C31" i="48"/>
  <c r="E26" i="48"/>
  <c r="E24" i="48"/>
  <c r="C30" i="50"/>
  <c r="D29" i="50"/>
  <c r="C28" i="50"/>
  <c r="E27" i="50"/>
  <c r="C27" i="50"/>
  <c r="D26" i="50"/>
  <c r="E25" i="50"/>
  <c r="C25" i="50"/>
  <c r="D24" i="50"/>
  <c r="C29" i="50"/>
  <c r="D28" i="50"/>
  <c r="C26" i="50"/>
  <c r="D25" i="50"/>
  <c r="C24" i="50"/>
  <c r="C31" i="50"/>
  <c r="E26" i="50"/>
  <c r="E24" i="50"/>
  <c r="C32" i="50"/>
  <c r="D30" i="50"/>
  <c r="D27" i="50"/>
  <c r="C30" i="52"/>
  <c r="D29" i="52"/>
  <c r="C28" i="52"/>
  <c r="E27" i="52"/>
  <c r="C27" i="52"/>
  <c r="D26" i="52"/>
  <c r="E25" i="52"/>
  <c r="C25" i="52"/>
  <c r="D24" i="52"/>
  <c r="C29" i="52"/>
  <c r="D28" i="52"/>
  <c r="C26" i="52"/>
  <c r="D25" i="52"/>
  <c r="C24" i="52"/>
  <c r="C32" i="52"/>
  <c r="D30" i="52"/>
  <c r="D27" i="52"/>
  <c r="C31" i="52"/>
  <c r="E26" i="52"/>
  <c r="E24" i="52"/>
  <c r="C31" i="54"/>
  <c r="C30" i="54"/>
  <c r="D29" i="54"/>
  <c r="D28" i="54"/>
  <c r="D27" i="54"/>
  <c r="D26" i="54"/>
  <c r="D25" i="54"/>
  <c r="E24" i="54"/>
  <c r="C24" i="54"/>
  <c r="C32" i="54"/>
  <c r="E27" i="54"/>
  <c r="E26" i="54"/>
  <c r="E25" i="54"/>
  <c r="D24" i="54"/>
  <c r="C29" i="54"/>
  <c r="C27" i="54"/>
  <c r="C25" i="54"/>
  <c r="D30" i="54"/>
  <c r="C28" i="54"/>
  <c r="C26" i="54"/>
  <c r="C32" i="56"/>
  <c r="D30" i="56"/>
  <c r="C29" i="56"/>
  <c r="C28" i="56"/>
  <c r="E27" i="56"/>
  <c r="C27" i="56"/>
  <c r="E26" i="56"/>
  <c r="C26" i="56"/>
  <c r="E25" i="56"/>
  <c r="C25" i="56"/>
  <c r="D24" i="56"/>
  <c r="C31" i="56"/>
  <c r="C30" i="56"/>
  <c r="E24" i="56"/>
  <c r="D28" i="56"/>
  <c r="D26" i="56"/>
  <c r="C24" i="56"/>
  <c r="D29" i="56"/>
  <c r="D27" i="56"/>
  <c r="D25" i="56"/>
  <c r="C31" i="58"/>
  <c r="C30" i="58"/>
  <c r="D29" i="58"/>
  <c r="D28" i="58"/>
  <c r="D27" i="58"/>
  <c r="D26" i="58"/>
  <c r="D25" i="58"/>
  <c r="E24" i="58"/>
  <c r="C24" i="58"/>
  <c r="D30" i="58"/>
  <c r="C29" i="58"/>
  <c r="C28" i="58"/>
  <c r="C27" i="58"/>
  <c r="C26" i="58"/>
  <c r="C25" i="58"/>
  <c r="C32" i="58"/>
  <c r="E27" i="58"/>
  <c r="E25" i="58"/>
  <c r="E26" i="58"/>
  <c r="D24" i="58"/>
  <c r="C30" i="61"/>
  <c r="D29" i="61"/>
  <c r="C28" i="61"/>
  <c r="E27" i="61"/>
  <c r="C27" i="61"/>
  <c r="D26" i="61"/>
  <c r="E25" i="61"/>
  <c r="C25" i="61"/>
  <c r="D24" i="61"/>
  <c r="C29" i="61"/>
  <c r="D28" i="61"/>
  <c r="C26" i="61"/>
  <c r="D25" i="61"/>
  <c r="C24" i="61"/>
  <c r="C31" i="61"/>
  <c r="E26" i="61"/>
  <c r="E24" i="61"/>
  <c r="C32" i="61"/>
  <c r="D30" i="61"/>
  <c r="D27" i="61"/>
  <c r="C30" i="63"/>
  <c r="D29" i="63"/>
  <c r="C28" i="63"/>
  <c r="E27" i="63"/>
  <c r="C27" i="63"/>
  <c r="D26" i="63"/>
  <c r="E25" i="63"/>
  <c r="C25" i="63"/>
  <c r="D24" i="63"/>
  <c r="C29" i="63"/>
  <c r="D28" i="63"/>
  <c r="C26" i="63"/>
  <c r="D25" i="63"/>
  <c r="C24" i="63"/>
  <c r="C32" i="63"/>
  <c r="D30" i="63"/>
  <c r="D27" i="63"/>
  <c r="C31" i="63"/>
  <c r="E26" i="63"/>
  <c r="E24" i="63"/>
  <c r="C32" i="65"/>
  <c r="D30" i="65"/>
  <c r="C29" i="65"/>
  <c r="C28" i="65"/>
  <c r="E27" i="65"/>
  <c r="C27" i="65"/>
  <c r="E26" i="65"/>
  <c r="C26" i="65"/>
  <c r="E25" i="65"/>
  <c r="C25" i="65"/>
  <c r="D24" i="65"/>
  <c r="D29" i="65"/>
  <c r="D28" i="65"/>
  <c r="D27" i="65"/>
  <c r="D26" i="65"/>
  <c r="D25" i="65"/>
  <c r="C24" i="65"/>
  <c r="C31" i="65"/>
  <c r="E24" i="65"/>
  <c r="C30" i="65"/>
  <c r="C32" i="67"/>
  <c r="C31" i="67"/>
  <c r="D30" i="67"/>
  <c r="C29" i="67"/>
  <c r="D28" i="67"/>
  <c r="D27" i="67"/>
  <c r="E26" i="67"/>
  <c r="C26" i="67"/>
  <c r="D25" i="67"/>
  <c r="E24" i="67"/>
  <c r="C24" i="67"/>
  <c r="C30" i="67"/>
  <c r="D29" i="67"/>
  <c r="C27" i="67"/>
  <c r="D26" i="67"/>
  <c r="E25" i="67"/>
  <c r="D24" i="67"/>
  <c r="E27" i="67"/>
  <c r="C28" i="67"/>
  <c r="C25" i="67"/>
  <c r="C30" i="69"/>
  <c r="D29" i="69"/>
  <c r="C28" i="69"/>
  <c r="E27" i="69"/>
  <c r="C27" i="69"/>
  <c r="D26" i="69"/>
  <c r="E25" i="69"/>
  <c r="C25" i="69"/>
  <c r="D24" i="69"/>
  <c r="C32" i="69"/>
  <c r="C31" i="69"/>
  <c r="D30" i="69"/>
  <c r="D27" i="69"/>
  <c r="E26" i="69"/>
  <c r="E24" i="69"/>
  <c r="D28" i="69"/>
  <c r="D25" i="69"/>
  <c r="C29" i="69"/>
  <c r="C26" i="69"/>
  <c r="C24" i="69"/>
  <c r="C30" i="71"/>
  <c r="D29" i="71"/>
  <c r="C28" i="71"/>
  <c r="E27" i="71"/>
  <c r="C27" i="71"/>
  <c r="D26" i="71"/>
  <c r="E25" i="71"/>
  <c r="C25" i="71"/>
  <c r="D24" i="71"/>
  <c r="C32" i="71"/>
  <c r="C31" i="71"/>
  <c r="D30" i="71"/>
  <c r="D27" i="71"/>
  <c r="E26" i="71"/>
  <c r="E24" i="71"/>
  <c r="C29" i="71"/>
  <c r="C26" i="71"/>
  <c r="C24" i="71"/>
  <c r="D28" i="71"/>
  <c r="D25" i="71"/>
  <c r="C32" i="75"/>
  <c r="C31" i="75"/>
  <c r="D30" i="75"/>
  <c r="C29" i="75"/>
  <c r="D28" i="75"/>
  <c r="D27" i="75"/>
  <c r="E26" i="75"/>
  <c r="C26" i="75"/>
  <c r="D25" i="75"/>
  <c r="E24" i="75"/>
  <c r="C24" i="75"/>
  <c r="C30" i="75"/>
  <c r="D29" i="75"/>
  <c r="C27" i="75"/>
  <c r="D26" i="75"/>
  <c r="E25" i="75"/>
  <c r="D24" i="75"/>
  <c r="C28" i="75"/>
  <c r="C25" i="75"/>
  <c r="E27" i="75"/>
  <c r="C30" i="77"/>
  <c r="D29" i="77"/>
  <c r="C28" i="77"/>
  <c r="E27" i="77"/>
  <c r="C27" i="77"/>
  <c r="D26" i="77"/>
  <c r="E25" i="77"/>
  <c r="C25" i="77"/>
  <c r="D24" i="77"/>
  <c r="C32" i="77"/>
  <c r="C31" i="77"/>
  <c r="D30" i="77"/>
  <c r="D27" i="77"/>
  <c r="E26" i="77"/>
  <c r="E24" i="77"/>
  <c r="C29" i="77"/>
  <c r="C26" i="77"/>
  <c r="C24" i="77"/>
  <c r="D28" i="77"/>
  <c r="D25" i="77"/>
  <c r="C32" i="79"/>
  <c r="C31" i="79"/>
  <c r="D30" i="79"/>
  <c r="C29" i="79"/>
  <c r="D28" i="79"/>
  <c r="D27" i="79"/>
  <c r="E26" i="79"/>
  <c r="C26" i="79"/>
  <c r="D25" i="79"/>
  <c r="E24" i="79"/>
  <c r="C24" i="79"/>
  <c r="C28" i="79"/>
  <c r="E27" i="79"/>
  <c r="C25" i="79"/>
  <c r="C30" i="79"/>
  <c r="C27" i="79"/>
  <c r="E25" i="79"/>
  <c r="D29" i="79"/>
  <c r="D26" i="79"/>
  <c r="D24" i="79"/>
  <c r="C32" i="81"/>
  <c r="D30" i="81"/>
  <c r="C29" i="81"/>
  <c r="C28" i="81"/>
  <c r="E27" i="81"/>
  <c r="C27" i="81"/>
  <c r="E26" i="81"/>
  <c r="C26" i="81"/>
  <c r="D29" i="81"/>
  <c r="D28" i="81"/>
  <c r="D27" i="81"/>
  <c r="D26" i="81"/>
  <c r="E25" i="81"/>
  <c r="C25" i="81"/>
  <c r="D24" i="81"/>
  <c r="C31" i="81"/>
  <c r="D25" i="81"/>
  <c r="C24" i="81"/>
  <c r="E24" i="81"/>
  <c r="C30" i="81"/>
  <c r="C32" i="83"/>
  <c r="D30" i="83"/>
  <c r="C29" i="83"/>
  <c r="C28" i="83"/>
  <c r="E27" i="83"/>
  <c r="C27" i="83"/>
  <c r="E26" i="83"/>
  <c r="C26" i="83"/>
  <c r="E25" i="83"/>
  <c r="C25" i="83"/>
  <c r="D24" i="83"/>
  <c r="C31" i="83"/>
  <c r="C30" i="83"/>
  <c r="E24" i="83"/>
  <c r="D28" i="83"/>
  <c r="D26" i="83"/>
  <c r="C24" i="83"/>
  <c r="D27" i="83"/>
  <c r="D29" i="83"/>
  <c r="D25" i="83"/>
  <c r="C30" i="85"/>
  <c r="D29" i="85"/>
  <c r="C28" i="85"/>
  <c r="E27" i="85"/>
  <c r="C27" i="85"/>
  <c r="D26" i="85"/>
  <c r="E25" i="85"/>
  <c r="C25" i="85"/>
  <c r="D24" i="85"/>
  <c r="C29" i="85"/>
  <c r="D28" i="85"/>
  <c r="C26" i="85"/>
  <c r="D25" i="85"/>
  <c r="C24" i="85"/>
  <c r="C32" i="85"/>
  <c r="D30" i="85"/>
  <c r="D27" i="85"/>
  <c r="E26" i="85"/>
  <c r="C31" i="85"/>
  <c r="E24" i="85"/>
  <c r="C32" i="87"/>
  <c r="D30" i="87"/>
  <c r="C29" i="87"/>
  <c r="C28" i="87"/>
  <c r="E27" i="87"/>
  <c r="C27" i="87"/>
  <c r="E26" i="87"/>
  <c r="C26" i="87"/>
  <c r="E25" i="87"/>
  <c r="C25" i="87"/>
  <c r="D24" i="87"/>
  <c r="D29" i="87"/>
  <c r="D28" i="87"/>
  <c r="D27" i="87"/>
  <c r="D26" i="87"/>
  <c r="D25" i="87"/>
  <c r="C24" i="87"/>
  <c r="C31" i="87"/>
  <c r="E24" i="87"/>
  <c r="C30" i="87"/>
  <c r="C30" i="89"/>
  <c r="D29" i="89"/>
  <c r="C28" i="89"/>
  <c r="E27" i="89"/>
  <c r="C27" i="89"/>
  <c r="D26" i="89"/>
  <c r="E25" i="89"/>
  <c r="C25" i="89"/>
  <c r="D24" i="89"/>
  <c r="C32" i="89"/>
  <c r="C31" i="89"/>
  <c r="D30" i="89"/>
  <c r="D27" i="89"/>
  <c r="E26" i="89"/>
  <c r="E24" i="89"/>
  <c r="C29" i="89"/>
  <c r="C26" i="89"/>
  <c r="C24" i="89"/>
  <c r="D28" i="89"/>
  <c r="D25" i="89"/>
  <c r="C30" i="91"/>
  <c r="D29" i="91"/>
  <c r="C28" i="91"/>
  <c r="E27" i="91"/>
  <c r="C27" i="91"/>
  <c r="D26" i="91"/>
  <c r="E25" i="91"/>
  <c r="C25" i="91"/>
  <c r="D24" i="91"/>
  <c r="C32" i="91"/>
  <c r="C31" i="91"/>
  <c r="D30" i="91"/>
  <c r="D27" i="91"/>
  <c r="E26" i="91"/>
  <c r="E24" i="91"/>
  <c r="D28" i="91"/>
  <c r="D25" i="91"/>
  <c r="C24" i="91"/>
  <c r="C26" i="91"/>
  <c r="C29" i="91"/>
  <c r="C32" i="95"/>
  <c r="C31" i="95"/>
  <c r="D30" i="95"/>
  <c r="C29" i="95"/>
  <c r="D28" i="95"/>
  <c r="D27" i="95"/>
  <c r="E26" i="95"/>
  <c r="C26" i="95"/>
  <c r="D25" i="95"/>
  <c r="C28" i="95"/>
  <c r="E27" i="95"/>
  <c r="C25" i="95"/>
  <c r="D24" i="95"/>
  <c r="C30" i="95"/>
  <c r="C27" i="95"/>
  <c r="E25" i="95"/>
  <c r="C24" i="95"/>
  <c r="D29" i="95"/>
  <c r="D26" i="95"/>
  <c r="E24" i="95"/>
  <c r="C32" i="97"/>
  <c r="C31" i="97"/>
  <c r="D30" i="97"/>
  <c r="C29" i="97"/>
  <c r="D28" i="97"/>
  <c r="D27" i="97"/>
  <c r="E26" i="97"/>
  <c r="C26" i="97"/>
  <c r="D25" i="97"/>
  <c r="E24" i="97"/>
  <c r="C24" i="97"/>
  <c r="C28" i="97"/>
  <c r="E27" i="97"/>
  <c r="C25" i="97"/>
  <c r="D29" i="97"/>
  <c r="D26" i="97"/>
  <c r="D24" i="97"/>
  <c r="E25" i="97"/>
  <c r="C30" i="97"/>
  <c r="C27" i="97"/>
  <c r="C30" i="101"/>
  <c r="D29" i="101"/>
  <c r="C28" i="101"/>
  <c r="E27" i="101"/>
  <c r="C27" i="101"/>
  <c r="D26" i="101"/>
  <c r="E25" i="101"/>
  <c r="C25" i="101"/>
  <c r="D24" i="101"/>
  <c r="C29" i="101"/>
  <c r="D28" i="101"/>
  <c r="C26" i="101"/>
  <c r="D25" i="101"/>
  <c r="C24" i="101"/>
  <c r="C32" i="101"/>
  <c r="D30" i="101"/>
  <c r="D27" i="101"/>
  <c r="C31" i="101"/>
  <c r="E24" i="101"/>
  <c r="E26" i="101"/>
  <c r="C32" i="6"/>
  <c r="D30" i="6"/>
  <c r="C29" i="6"/>
  <c r="C28" i="6"/>
  <c r="E27" i="6"/>
  <c r="C27" i="6"/>
  <c r="E26" i="6"/>
  <c r="C31" i="6"/>
  <c r="C30" i="6"/>
  <c r="C26" i="6"/>
  <c r="E25" i="6"/>
  <c r="C25" i="6"/>
  <c r="D24" i="6"/>
  <c r="D28" i="6"/>
  <c r="D26" i="6"/>
  <c r="D25" i="6"/>
  <c r="C24" i="6"/>
  <c r="D29" i="6"/>
  <c r="D27" i="6"/>
  <c r="E24" i="6"/>
  <c r="C32" i="73"/>
  <c r="C31" i="73"/>
  <c r="D30" i="73"/>
  <c r="C29" i="73"/>
  <c r="D28" i="73"/>
  <c r="D27" i="73"/>
  <c r="E26" i="73"/>
  <c r="C26" i="73"/>
  <c r="D25" i="73"/>
  <c r="E24" i="73"/>
  <c r="C24" i="73"/>
  <c r="C30" i="73"/>
  <c r="D29" i="73"/>
  <c r="C27" i="73"/>
  <c r="D26" i="73"/>
  <c r="E25" i="73"/>
  <c r="D24" i="73"/>
  <c r="E27" i="73"/>
  <c r="C28" i="73"/>
  <c r="C25" i="73"/>
  <c r="C32" i="93"/>
  <c r="D30" i="93"/>
  <c r="C29" i="93"/>
  <c r="C28" i="93"/>
  <c r="E27" i="93"/>
  <c r="C27" i="93"/>
  <c r="E26" i="93"/>
  <c r="C26" i="93"/>
  <c r="E25" i="93"/>
  <c r="C25" i="93"/>
  <c r="D24" i="93"/>
  <c r="C31" i="93"/>
  <c r="C30" i="93"/>
  <c r="E24" i="93"/>
  <c r="D28" i="93"/>
  <c r="D26" i="93"/>
  <c r="C24" i="93"/>
  <c r="D27" i="93"/>
  <c r="D29" i="93"/>
  <c r="D25" i="93"/>
  <c r="C30" i="99"/>
  <c r="D29" i="99"/>
  <c r="C28" i="99"/>
  <c r="E27" i="99"/>
  <c r="C27" i="99"/>
  <c r="D26" i="99"/>
  <c r="E25" i="99"/>
  <c r="C29" i="99"/>
  <c r="D28" i="99"/>
  <c r="C26" i="99"/>
  <c r="D25" i="99"/>
  <c r="E24" i="99"/>
  <c r="C24" i="99"/>
  <c r="C31" i="99"/>
  <c r="E26" i="99"/>
  <c r="C25" i="99"/>
  <c r="C32" i="99"/>
  <c r="D30" i="99"/>
  <c r="D24" i="99"/>
  <c r="D27" i="99"/>
  <c r="C30" i="103"/>
  <c r="D29" i="103"/>
  <c r="C28" i="103"/>
  <c r="E27" i="103"/>
  <c r="C27" i="103"/>
  <c r="D26" i="103"/>
  <c r="E25" i="103"/>
  <c r="C25" i="103"/>
  <c r="D24" i="103"/>
  <c r="C29" i="103"/>
  <c r="D28" i="103"/>
  <c r="C26" i="103"/>
  <c r="D25" i="103"/>
  <c r="C24" i="103"/>
  <c r="C31" i="103"/>
  <c r="E26" i="103"/>
  <c r="E24" i="103"/>
  <c r="D30" i="103"/>
  <c r="D27" i="103"/>
  <c r="C32" i="103"/>
  <c r="D27" i="1"/>
  <c r="E26" i="1"/>
  <c r="C26" i="1"/>
  <c r="D25" i="1"/>
  <c r="E24" i="1"/>
  <c r="C24" i="1"/>
  <c r="C27" i="1"/>
  <c r="D26" i="1"/>
  <c r="E25" i="1"/>
  <c r="D24" i="1"/>
  <c r="C30" i="1"/>
  <c r="C32" i="1"/>
  <c r="C31" i="1"/>
  <c r="D30" i="1"/>
  <c r="C29" i="1"/>
  <c r="D28" i="1"/>
  <c r="E27" i="1"/>
  <c r="C25" i="1"/>
  <c r="D29" i="1"/>
  <c r="C28" i="1"/>
  <c r="H9" i="1"/>
  <c r="I10" i="1"/>
  <c r="J11" i="1"/>
  <c r="E20" i="1" s="1"/>
  <c r="I13" i="1"/>
  <c r="E6" i="1"/>
  <c r="E8" i="1"/>
  <c r="D9" i="1"/>
  <c r="D12" i="1"/>
  <c r="C13" i="1"/>
  <c r="C14" i="1"/>
  <c r="C6" i="1"/>
  <c r="D7" i="1"/>
  <c r="C8" i="1"/>
  <c r="D10" i="1"/>
  <c r="C11" i="1"/>
  <c r="D6" i="1"/>
  <c r="C7" i="1"/>
  <c r="E7" i="1"/>
  <c r="I7" i="1"/>
  <c r="D8" i="1"/>
  <c r="C9" i="1"/>
  <c r="E9" i="1"/>
  <c r="I9" i="1"/>
  <c r="E18" i="1" s="1"/>
  <c r="C10" i="1"/>
  <c r="H10" i="1"/>
  <c r="J10" i="1"/>
  <c r="E19" i="1" s="1"/>
  <c r="D11" i="1"/>
  <c r="I11" i="1"/>
  <c r="H12" i="1"/>
  <c r="J12" i="1"/>
  <c r="H13" i="1"/>
  <c r="H14" i="1"/>
  <c r="E20" i="38" l="1"/>
  <c r="K11" i="38"/>
  <c r="E19" i="38"/>
  <c r="K10" i="38"/>
  <c r="E8" i="18"/>
  <c r="C9" i="18"/>
  <c r="E7" i="18"/>
  <c r="D9" i="18"/>
  <c r="C7" i="18"/>
  <c r="C13" i="18"/>
  <c r="E6" i="18"/>
  <c r="E9" i="18"/>
  <c r="D12" i="18"/>
  <c r="C6" i="18"/>
  <c r="D6" i="18"/>
  <c r="C11" i="18"/>
  <c r="C8" i="18"/>
  <c r="C10" i="18"/>
  <c r="D11" i="18"/>
  <c r="D8" i="18"/>
  <c r="C14" i="18"/>
  <c r="D10" i="18"/>
  <c r="D7" i="18"/>
  <c r="C32" i="18"/>
  <c r="C31" i="18"/>
  <c r="D30" i="18"/>
  <c r="C29" i="18"/>
  <c r="D28" i="18"/>
  <c r="D27" i="18"/>
  <c r="E26" i="18"/>
  <c r="C26" i="18"/>
  <c r="D25" i="18"/>
  <c r="E24" i="18"/>
  <c r="C24" i="18"/>
  <c r="C30" i="18"/>
  <c r="D29" i="18"/>
  <c r="C28" i="18"/>
  <c r="E27" i="18"/>
  <c r="C27" i="18"/>
  <c r="D26" i="18"/>
  <c r="E25" i="18"/>
  <c r="C25" i="18"/>
  <c r="D24" i="18"/>
</calcChain>
</file>

<file path=xl/sharedStrings.xml><?xml version="1.0" encoding="utf-8"?>
<sst xmlns="http://schemas.openxmlformats.org/spreadsheetml/2006/main" count="5720" uniqueCount="362">
  <si>
    <t xml:space="preserve">DD </t>
  </si>
  <si>
    <t>NEGRA</t>
  </si>
  <si>
    <t>XXX</t>
  </si>
  <si>
    <t>12,14 y 20</t>
  </si>
  <si>
    <t>4,75 Y 4.00</t>
  </si>
  <si>
    <t>BASE</t>
  </si>
  <si>
    <t>S/MEL</t>
  </si>
  <si>
    <t>CALIDAD</t>
  </si>
  <si>
    <t>ANCHO</t>
  </si>
  <si>
    <t>ESPESOR</t>
  </si>
  <si>
    <t>CLIENTES:</t>
  </si>
  <si>
    <t>PRECIO BASE DD:</t>
  </si>
  <si>
    <t>PRECIO BASE NEGRA:</t>
  </si>
  <si>
    <t>FECHA DE ACTUALIZACIÓN:</t>
  </si>
  <si>
    <t>% Incremento</t>
  </si>
  <si>
    <t>CLIENTE:</t>
  </si>
  <si>
    <t>Base 100</t>
  </si>
  <si>
    <t>Coeficiente</t>
  </si>
  <si>
    <t>Resultado</t>
  </si>
  <si>
    <t>BASE DD</t>
  </si>
  <si>
    <t>BASE NEGRA</t>
  </si>
  <si>
    <t>ITEXA</t>
  </si>
  <si>
    <t>BRIMPEX</t>
  </si>
  <si>
    <t>GUTIERREZ</t>
  </si>
  <si>
    <t>FZ</t>
  </si>
  <si>
    <t>Cotización Dólar</t>
  </si>
  <si>
    <t>Dólar Definido</t>
  </si>
  <si>
    <t>Buscar</t>
  </si>
  <si>
    <t>Ctrl + B</t>
  </si>
  <si>
    <t>http://www.bna.com.ar/</t>
  </si>
  <si>
    <t>LISTA DE PRECIOS EN PESOS</t>
  </si>
  <si>
    <t>LISTA DE PRECIOS EN DÓLARES</t>
  </si>
  <si>
    <t>Base U$S</t>
  </si>
  <si>
    <t>Base $</t>
  </si>
  <si>
    <t>BARRA</t>
  </si>
  <si>
    <t>DEMIQUIELI</t>
  </si>
  <si>
    <t>BOERO REYNOX</t>
  </si>
  <si>
    <t>SERVIPROD</t>
  </si>
  <si>
    <t>COMPLEMENTOS DEP</t>
  </si>
  <si>
    <t>INDUMETALES</t>
  </si>
  <si>
    <t>VISSIO</t>
  </si>
  <si>
    <t>ACERBRIL</t>
  </si>
  <si>
    <t>DOLTZ</t>
  </si>
  <si>
    <t>MICROFILTER</t>
  </si>
  <si>
    <t>METALCON</t>
  </si>
  <si>
    <t>ACEROS SAE</t>
  </si>
  <si>
    <t>PUGELJ</t>
  </si>
  <si>
    <t>RICAMBI</t>
  </si>
  <si>
    <t>PANTECNICA</t>
  </si>
  <si>
    <t>LINEA DE ILUMINACION</t>
  </si>
  <si>
    <t>BERTA</t>
  </si>
  <si>
    <t>SIMAT</t>
  </si>
  <si>
    <t xml:space="preserve"> </t>
  </si>
  <si>
    <t>FAMETAL</t>
  </si>
  <si>
    <t>DUILIO QUEVEDO/LURASCHI</t>
  </si>
  <si>
    <t>METEGOLAZO LIRIO/COLO</t>
  </si>
  <si>
    <t>minoli</t>
  </si>
  <si>
    <t>SANCHEZ</t>
  </si>
  <si>
    <t>SCAGLIONE/CAJDA/palumieri</t>
  </si>
  <si>
    <t>IMP/cocuchi</t>
  </si>
  <si>
    <t>KAPPA/ALYCO</t>
  </si>
  <si>
    <t>GESTEC/ARLEM/FIGUE/denti</t>
  </si>
  <si>
    <t>SARRO/lumac/rimauro</t>
  </si>
  <si>
    <t>MOM/reynoso/mirta torres</t>
  </si>
  <si>
    <t xml:space="preserve">gruesa </t>
  </si>
  <si>
    <t>cromwell/MET GUILLON</t>
  </si>
  <si>
    <t>sae 1045</t>
  </si>
  <si>
    <t>anahi</t>
  </si>
  <si>
    <t xml:space="preserve">  </t>
  </si>
  <si>
    <t>galv</t>
  </si>
  <si>
    <t>16  14</t>
  </si>
  <si>
    <t>caño</t>
  </si>
  <si>
    <t>60x100x1/8</t>
  </si>
  <si>
    <t>30x1,6</t>
  </si>
  <si>
    <t>u$s</t>
  </si>
  <si>
    <t>40x60x2</t>
  </si>
  <si>
    <t>16 14</t>
  </si>
  <si>
    <t>mariano trailer</t>
  </si>
  <si>
    <t>22 4 x 8</t>
  </si>
  <si>
    <t>20 4 x 8est</t>
  </si>
  <si>
    <t>60 40 2</t>
  </si>
  <si>
    <t>40 80 2</t>
  </si>
  <si>
    <t>gruesa</t>
  </si>
  <si>
    <t>16-14</t>
  </si>
  <si>
    <t>decap 8,5</t>
  </si>
  <si>
    <t>20 30 2</t>
  </si>
  <si>
    <t>DI LORENZO/alico</t>
  </si>
  <si>
    <t>DEC</t>
  </si>
  <si>
    <t>CALDERAS MACCIO/gomez/metalcor</t>
  </si>
  <si>
    <t>THEGOS</t>
  </si>
  <si>
    <t>GASER/tecnicorte</t>
  </si>
  <si>
    <t>HIERGATH/GALARZA</t>
  </si>
  <si>
    <t>dec 8,5</t>
  </si>
  <si>
    <t>IMAGEN/shulman</t>
  </si>
  <si>
    <t>TALLERES NAVALES/burner/eqa</t>
  </si>
  <si>
    <t xml:space="preserve"> 30 2</t>
  </si>
  <si>
    <t>60x100x2,5</t>
  </si>
  <si>
    <t>final</t>
  </si>
  <si>
    <t>f24-- 5</t>
  </si>
  <si>
    <t>TEA/indumetales</t>
  </si>
  <si>
    <t xml:space="preserve">final </t>
  </si>
  <si>
    <t>sae 1,4</t>
  </si>
  <si>
    <t>GOR GRAS/rase/calcor/fabrica de luz/forjan/lagos</t>
  </si>
  <si>
    <t>dec 2,6</t>
  </si>
  <si>
    <t>40x80x2,5</t>
  </si>
  <si>
    <t>actualizado a nov</t>
  </si>
  <si>
    <t>PROVIMAR/PUERTAS/CAMPANA/MULTILIFT//am carrocerias/megaces</t>
  </si>
  <si>
    <t>ACEREC/escapes/solomita</t>
  </si>
  <si>
    <t>decapada 8,5</t>
  </si>
  <si>
    <t>30 x 50 x 0,9</t>
  </si>
  <si>
    <t>40x60x1,6</t>
  </si>
  <si>
    <t>elbio</t>
  </si>
  <si>
    <t>burner</t>
  </si>
  <si>
    <t>20x50x1,2</t>
  </si>
  <si>
    <t>20x20x1,2</t>
  </si>
  <si>
    <t>15 15 1,25</t>
  </si>
  <si>
    <t>20 20 1,25</t>
  </si>
  <si>
    <t>40 80 1,25</t>
  </si>
  <si>
    <t>40 40 1,6</t>
  </si>
  <si>
    <t>30 30 1,6</t>
  </si>
  <si>
    <t>20 30 1,6</t>
  </si>
  <si>
    <t>20 50 1,6</t>
  </si>
  <si>
    <t>40 60 1,6</t>
  </si>
  <si>
    <t>40 80 1,6</t>
  </si>
  <si>
    <t>40 100 1,6</t>
  </si>
  <si>
    <t>20 40 1,6</t>
  </si>
  <si>
    <t>cormot/geluma/merigui/lumak</t>
  </si>
  <si>
    <t>vascos</t>
  </si>
  <si>
    <t>tubos</t>
  </si>
  <si>
    <t>dec 2,9</t>
  </si>
  <si>
    <t xml:space="preserve">40 80 2 </t>
  </si>
  <si>
    <t>25 25 1,25</t>
  </si>
  <si>
    <t>30 50 1,25</t>
  </si>
  <si>
    <t>20 30 1,25</t>
  </si>
  <si>
    <t xml:space="preserve">40 60 2 </t>
  </si>
  <si>
    <t>30 50 0,9</t>
  </si>
  <si>
    <t>precio Venta dólar x tubo</t>
  </si>
  <si>
    <t>Precio Venta       dólar x KG</t>
  </si>
  <si>
    <t>precio Venta            ARG$</t>
  </si>
  <si>
    <t>costo según factura USD / KG</t>
  </si>
  <si>
    <r>
      <t xml:space="preserve">      </t>
    </r>
    <r>
      <rPr>
        <b/>
        <sz val="11"/>
        <rFont val="Calibri"/>
        <family val="2"/>
        <scheme val="minor"/>
      </rPr>
      <t>15.87 1,25</t>
    </r>
  </si>
  <si>
    <t>20 40 1,20</t>
  </si>
  <si>
    <t>30 30 1,25</t>
  </si>
  <si>
    <t>https://www.calcuvio.com/peso-tubo-metal</t>
  </si>
  <si>
    <t xml:space="preserve">PESOS TEORICOS TUBOS </t>
  </si>
  <si>
    <t>Peso Teorico Tubo</t>
  </si>
  <si>
    <t>tubos 6 mts</t>
  </si>
  <si>
    <t>peso Unitario Tubo</t>
  </si>
  <si>
    <t>costo según Ternium Bonif c/envio</t>
  </si>
  <si>
    <t>CONDORCOC/tecnocort</t>
  </si>
  <si>
    <t>40 80 2,5</t>
  </si>
  <si>
    <t>60 100 2,5</t>
  </si>
  <si>
    <t>dolares</t>
  </si>
  <si>
    <t xml:space="preserve">  22 x 0,9</t>
  </si>
  <si>
    <t xml:space="preserve">   25,4 x1,25</t>
  </si>
  <si>
    <t>COVIC/acerotec/frachia/beta</t>
  </si>
  <si>
    <t>40 40 1,25</t>
  </si>
  <si>
    <t>40 60 1,25</t>
  </si>
  <si>
    <t xml:space="preserve">  25,4 2</t>
  </si>
  <si>
    <t>BARRERA/ACEBA/diegez/fitnes</t>
  </si>
  <si>
    <r>
      <t xml:space="preserve">      </t>
    </r>
    <r>
      <rPr>
        <b/>
        <sz val="12"/>
        <rFont val="Calibri"/>
        <family val="2"/>
        <scheme val="minor"/>
      </rPr>
      <t>38 1,6</t>
    </r>
  </si>
  <si>
    <r>
      <t xml:space="preserve">      </t>
    </r>
    <r>
      <rPr>
        <b/>
        <sz val="12"/>
        <rFont val="Calibri"/>
        <family val="2"/>
        <scheme val="minor"/>
      </rPr>
      <t>31,7 1,6</t>
    </r>
  </si>
  <si>
    <t xml:space="preserve">40 40 2 </t>
  </si>
  <si>
    <t>GRUPO QUIERO/puertas</t>
  </si>
  <si>
    <t>FABRICAL</t>
  </si>
  <si>
    <t>50 50 1,6</t>
  </si>
  <si>
    <t>100 100 1,6</t>
  </si>
  <si>
    <t>20 20 1,6</t>
  </si>
  <si>
    <t xml:space="preserve">30 30 2 </t>
  </si>
  <si>
    <t>EIMETAR/bepanor</t>
  </si>
  <si>
    <t>BOTTA/dediago</t>
  </si>
  <si>
    <t>all gasquet</t>
  </si>
  <si>
    <r>
      <t xml:space="preserve">      </t>
    </r>
    <r>
      <rPr>
        <b/>
        <sz val="12"/>
        <rFont val="Calibri"/>
        <family val="2"/>
        <scheme val="minor"/>
      </rPr>
      <t>44 1,6</t>
    </r>
  </si>
  <si>
    <t>25 25 1,6</t>
  </si>
  <si>
    <t>30 40 1,25</t>
  </si>
  <si>
    <t>¡</t>
  </si>
  <si>
    <t>obregon/peope</t>
  </si>
  <si>
    <t>CONSOLI /galvanizados saenz/soldani</t>
  </si>
  <si>
    <t>CALPSA</t>
  </si>
  <si>
    <t>40 80 3,2</t>
  </si>
  <si>
    <t>ACERBO</t>
  </si>
  <si>
    <t>ruta 7/diamet</t>
  </si>
  <si>
    <t>TUBOCHAP/ROCA/calvo</t>
  </si>
  <si>
    <t>binetti/titanium/carlos</t>
  </si>
  <si>
    <t>hurlinmet/la plata /secaire</t>
  </si>
  <si>
    <t>ULISES/renar/proyect</t>
  </si>
  <si>
    <t>DALMA/fornari</t>
  </si>
  <si>
    <t>VACAREZA/algema</t>
  </si>
  <si>
    <t>corte por agua/almametal</t>
  </si>
  <si>
    <t>CUATRO ASES/secaire/petenelo/maresca</t>
  </si>
  <si>
    <t>MASTRICCHIO/diegez</t>
  </si>
  <si>
    <t>50 50 1,25</t>
  </si>
  <si>
    <t>60 60 1,25</t>
  </si>
  <si>
    <t>30 70 1,25</t>
  </si>
  <si>
    <t>rodel/metic design/servitec</t>
  </si>
  <si>
    <t>servichap/permetal</t>
  </si>
  <si>
    <t>20 30 0,9</t>
  </si>
  <si>
    <t>10 30 1,25</t>
  </si>
  <si>
    <t>0w</t>
  </si>
  <si>
    <t>mangueras flex</t>
  </si>
  <si>
    <t>TORAL/tover/blasevich</t>
  </si>
  <si>
    <t>CB ACCESORIOS/fursan/casasco</t>
  </si>
  <si>
    <t>lisy</t>
  </si>
  <si>
    <t>clientes</t>
  </si>
  <si>
    <t>t</t>
  </si>
  <si>
    <t>50 50 2</t>
  </si>
  <si>
    <t xml:space="preserve">  22,22 2</t>
  </si>
  <si>
    <t xml:space="preserve">  31,75 2</t>
  </si>
  <si>
    <r>
      <t xml:space="preserve">      </t>
    </r>
    <r>
      <rPr>
        <b/>
        <sz val="11"/>
        <rFont val="Calibri"/>
        <family val="2"/>
        <scheme val="minor"/>
      </rPr>
      <t>15.87 1,6</t>
    </r>
  </si>
  <si>
    <t>gaser</t>
  </si>
  <si>
    <t xml:space="preserve">         ocho</t>
  </si>
  <si>
    <t>rominic/norberto</t>
  </si>
  <si>
    <t>dec-12</t>
  </si>
  <si>
    <r>
      <t xml:space="preserve">      </t>
    </r>
    <r>
      <rPr>
        <b/>
        <sz val="12"/>
        <rFont val="Calibri"/>
        <family val="2"/>
        <scheme val="minor"/>
      </rPr>
      <t>50 1,6</t>
    </r>
  </si>
  <si>
    <t>30 50 1,6</t>
  </si>
  <si>
    <t>megacer/esimet/ravi/sonoflex</t>
  </si>
  <si>
    <t>100 40 1,25</t>
  </si>
  <si>
    <r>
      <t xml:space="preserve">      </t>
    </r>
    <r>
      <rPr>
        <b/>
        <sz val="12"/>
        <rFont val="Calibri"/>
        <family val="2"/>
        <scheme val="minor"/>
      </rPr>
      <t>63,5 1,6</t>
    </r>
  </si>
  <si>
    <t>cormot -5</t>
  </si>
  <si>
    <t>RADICE/DODERO/secaire</t>
  </si>
  <si>
    <t>vascos -5%</t>
  </si>
  <si>
    <t xml:space="preserve">galva </t>
  </si>
  <si>
    <t>com -6</t>
  </si>
  <si>
    <t>TECTOOL / fioreti/buero</t>
  </si>
  <si>
    <t>colo-5</t>
  </si>
  <si>
    <t>accetub</t>
  </si>
  <si>
    <t>2,6 -10%</t>
  </si>
  <si>
    <t>int pomp/gustavo carrocero</t>
  </si>
  <si>
    <t>ZARATE/martino/ocho block/seguridad hm/monaco</t>
  </si>
  <si>
    <t>dec -12%</t>
  </si>
  <si>
    <t>mang -7%</t>
  </si>
  <si>
    <t>tecnoco pasc</t>
  </si>
  <si>
    <t>2,9 -11%</t>
  </si>
  <si>
    <t>duilio-8</t>
  </si>
  <si>
    <t>renar 5</t>
  </si>
  <si>
    <t>MARTINEZ/pretocom/parrillas omar/gillio</t>
  </si>
  <si>
    <t>CHAPET/anibal/suepet//met lonchamps</t>
  </si>
  <si>
    <t>all -7%</t>
  </si>
  <si>
    <t>tato/rolando/alpes/javier/bassaro/El roble</t>
  </si>
  <si>
    <t>eimetar -10%</t>
  </si>
  <si>
    <t>10 10 1,25</t>
  </si>
  <si>
    <t>10 40 1,25</t>
  </si>
  <si>
    <t>tato10%</t>
  </si>
  <si>
    <t>imp -10</t>
  </si>
  <si>
    <t>acc -10%</t>
  </si>
  <si>
    <t>proyec10</t>
  </si>
  <si>
    <t>lisi-10</t>
  </si>
  <si>
    <t>50 100 1,6</t>
  </si>
  <si>
    <t>vissio -10</t>
  </si>
  <si>
    <t>20 50 1,25</t>
  </si>
  <si>
    <r>
      <t xml:space="preserve">      </t>
    </r>
    <r>
      <rPr>
        <b/>
        <sz val="12"/>
        <rFont val="Calibri"/>
        <family val="2"/>
        <scheme val="minor"/>
      </rPr>
      <t>22,22 1,6</t>
    </r>
  </si>
  <si>
    <t>DEMI 12%</t>
  </si>
  <si>
    <t>dec -12</t>
  </si>
  <si>
    <t>cal 1/4 3/16-12</t>
  </si>
  <si>
    <t>tecno -10%</t>
  </si>
  <si>
    <t>sanche -10</t>
  </si>
  <si>
    <r>
      <t xml:space="preserve">      </t>
    </r>
    <r>
      <rPr>
        <b/>
        <sz val="11"/>
        <rFont val="Calibri"/>
        <family val="2"/>
        <scheme val="minor"/>
      </rPr>
      <t>19,05 1,6</t>
    </r>
  </si>
  <si>
    <t>linea -10</t>
  </si>
  <si>
    <t>zarate -11</t>
  </si>
  <si>
    <t>herrero 10%</t>
  </si>
  <si>
    <t>scaglione -10</t>
  </si>
  <si>
    <t>30 60 2</t>
  </si>
  <si>
    <t xml:space="preserve">lisy </t>
  </si>
  <si>
    <t>calpsa -11</t>
  </si>
  <si>
    <t>carbone -8%</t>
  </si>
  <si>
    <t>maccio -9</t>
  </si>
  <si>
    <t>morelli/campana/proyectos/accetub</t>
  </si>
  <si>
    <t>el roble 10%</t>
  </si>
  <si>
    <t>micro -12</t>
  </si>
  <si>
    <t>PLEG HURLINGHAM/tasia/lujan/san nicolas/mesquitq/santodomingo</t>
  </si>
  <si>
    <t>127  2</t>
  </si>
  <si>
    <t>CARPINTERO/oximetal/met gh/rotofrance/calden/brauer</t>
  </si>
  <si>
    <t>micro -10</t>
  </si>
  <si>
    <t>OXPANE LASER/milsa/viane</t>
  </si>
  <si>
    <t>20 60 1,6</t>
  </si>
  <si>
    <t>100 100 2</t>
  </si>
  <si>
    <t>30 40 1,6</t>
  </si>
  <si>
    <t>camsi -10</t>
  </si>
  <si>
    <t>20 10 1,25</t>
  </si>
  <si>
    <t>mequi -8</t>
  </si>
  <si>
    <t>maresca -8</t>
  </si>
  <si>
    <t>lonc  8%</t>
  </si>
  <si>
    <t>consoli-8</t>
  </si>
  <si>
    <t>pasc -11</t>
  </si>
  <si>
    <t>gut -8</t>
  </si>
  <si>
    <t>1,8 ,853</t>
  </si>
  <si>
    <t>milsa -8</t>
  </si>
  <si>
    <t>fursan -10%</t>
  </si>
  <si>
    <t>chapets -8</t>
  </si>
  <si>
    <t>barra  -8</t>
  </si>
  <si>
    <t>kapp -9%</t>
  </si>
  <si>
    <t>peop -5</t>
  </si>
  <si>
    <t>CAMSI/numasol/imsatermis</t>
  </si>
  <si>
    <t>colo -10%</t>
  </si>
  <si>
    <t>morell -11</t>
  </si>
  <si>
    <t>tectool,barra6%</t>
  </si>
  <si>
    <t>viane</t>
  </si>
  <si>
    <t>elbio -6%</t>
  </si>
  <si>
    <t>gh -8%</t>
  </si>
  <si>
    <t>oxp 9%</t>
  </si>
  <si>
    <t>15 30 1,25</t>
  </si>
  <si>
    <t>vacareza-9</t>
  </si>
  <si>
    <t>radice-10</t>
  </si>
  <si>
    <t>tectool-6%</t>
  </si>
  <si>
    <t>anibal-10</t>
  </si>
  <si>
    <t>tea -8%</t>
  </si>
  <si>
    <t>carpi cal9 frio 9</t>
  </si>
  <si>
    <t>80 80 1,6</t>
  </si>
  <si>
    <t>60 100 3,2</t>
  </si>
  <si>
    <t>fioreti -8</t>
  </si>
  <si>
    <t>buero8</t>
  </si>
  <si>
    <t>peope-2%</t>
  </si>
  <si>
    <t>proye 7</t>
  </si>
  <si>
    <t>aceba -10</t>
  </si>
  <si>
    <t>hierros</t>
  </si>
  <si>
    <t xml:space="preserve">peso Unitario </t>
  </si>
  <si>
    <t>P 1/2  1/8</t>
  </si>
  <si>
    <t>P 1/2  3/16</t>
  </si>
  <si>
    <t>P 1/2  1/4</t>
  </si>
  <si>
    <t xml:space="preserve">P 1  3/16 </t>
  </si>
  <si>
    <t>P 1 1/2  1/8</t>
  </si>
  <si>
    <t>HORNOS DEL SUR/carbone/msequipment</t>
  </si>
  <si>
    <t>p 2 1/2  3/8</t>
  </si>
  <si>
    <t>fioretti,eimetar7%</t>
  </si>
  <si>
    <t>BV  fz</t>
  </si>
  <si>
    <t>lujan -10</t>
  </si>
  <si>
    <t>lujan 7</t>
  </si>
  <si>
    <t>corte -10</t>
  </si>
  <si>
    <t>pagola 10%</t>
  </si>
  <si>
    <t>dediago-9</t>
  </si>
  <si>
    <t>pamela -10</t>
  </si>
  <si>
    <t>oxp-11%</t>
  </si>
  <si>
    <t>martino-9</t>
  </si>
  <si>
    <t>segu8%</t>
  </si>
  <si>
    <t>scag8</t>
  </si>
  <si>
    <t>100 100 3,2</t>
  </si>
  <si>
    <r>
      <t xml:space="preserve">      </t>
    </r>
    <r>
      <rPr>
        <b/>
        <sz val="12"/>
        <color rgb="FFFF0000"/>
        <rFont val="Calibri"/>
        <family val="2"/>
        <scheme val="minor"/>
      </rPr>
      <t>25,4 1,6</t>
    </r>
  </si>
  <si>
    <t>buromaik/calterm</t>
  </si>
  <si>
    <t>numasol -10</t>
  </si>
  <si>
    <t>dolz -12</t>
  </si>
  <si>
    <t>MSeq 10%</t>
  </si>
  <si>
    <t>lonchamp-9</t>
  </si>
  <si>
    <t>cañterm 10</t>
  </si>
  <si>
    <t>imsa -10</t>
  </si>
  <si>
    <t>angosta 965</t>
  </si>
  <si>
    <t>permetal -10</t>
  </si>
  <si>
    <t>quiero -11</t>
  </si>
  <si>
    <t>fitnes -8</t>
  </si>
  <si>
    <t>.-10</t>
  </si>
  <si>
    <t>ANGOST - 12</t>
  </si>
  <si>
    <t>ang -10</t>
  </si>
  <si>
    <t>colo</t>
  </si>
  <si>
    <t>angosta 915</t>
  </si>
  <si>
    <t>brauer8</t>
  </si>
  <si>
    <t>ang y dec -9</t>
  </si>
  <si>
    <r>
      <t xml:space="preserve">      </t>
    </r>
    <r>
      <rPr>
        <b/>
        <sz val="11"/>
        <rFont val="Calibri"/>
        <family val="2"/>
        <scheme val="minor"/>
      </rPr>
      <t>12,70 1,25</t>
    </r>
  </si>
  <si>
    <t>santo -10</t>
  </si>
  <si>
    <t>fursan</t>
  </si>
  <si>
    <t>hornos</t>
  </si>
  <si>
    <t>angosta 955</t>
  </si>
  <si>
    <t>dec 2,9 950</t>
  </si>
  <si>
    <t>,93 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</si>
</sst>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\ * #,##0.00_ ;_ &quot;$&quot;\ * \-#,##0.00_ ;_ &quot;$&quot;\ * &quot;-&quot;??_ ;_ @_ "/>
    <numFmt numFmtId="164" formatCode="_-&quot;$&quot;* #,##0.00_-;\-&quot;$&quot;* #,##0.00_-;_-&quot;$&quot;* &quot;-&quot;??_-;_-@_-"/>
    <numFmt numFmtId="165" formatCode="0.000"/>
    <numFmt numFmtId="166" formatCode="_-&quot;$&quot;* #,##0.000_-;\-&quot;$&quot;* #,##0.000_-;_-&quot;$&quot;* &quot;-&quot;???_-;_-@_-"/>
    <numFmt numFmtId="167" formatCode="dd/mm/yyyy;@"/>
    <numFmt numFmtId="168" formatCode="_-&quot;$&quot;* #,##0.000_-;\-&quot;$&quot;* #,##0.000_-;_-&quot;$&quot;* &quot;-&quot;??_-;_-@_-"/>
    <numFmt numFmtId="169" formatCode="#,##0.000_ ;\-#,##0.000\ "/>
  </numFmts>
  <fonts count="37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FF0000"/>
      <name val="Britannic Bold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1F1F1F"/>
      <name val="Arial"/>
      <family val="2"/>
    </font>
    <font>
      <sz val="10"/>
      <color rgb="FF121212"/>
      <name val="Arial"/>
      <family val="2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7"/>
      <color rgb="FF3B3B3B"/>
      <name val="Arial"/>
      <family val="2"/>
    </font>
    <font>
      <b/>
      <sz val="11"/>
      <color rgb="FF7030A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1212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shrinkToFit="1"/>
    </xf>
    <xf numFmtId="0" fontId="5" fillId="0" borderId="0" xfId="0" applyFont="1"/>
    <xf numFmtId="0" fontId="6" fillId="0" borderId="0" xfId="0" applyFont="1" applyAlignment="1">
      <alignment horizontal="right"/>
    </xf>
    <xf numFmtId="0" fontId="8" fillId="0" borderId="0" xfId="3" applyFont="1"/>
    <xf numFmtId="0" fontId="6" fillId="5" borderId="19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shrinkToFit="1"/>
    </xf>
    <xf numFmtId="0" fontId="4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10" fillId="0" borderId="0" xfId="0" applyFont="1" applyAlignment="1">
      <alignment horizontal="center" vertical="center" shrinkToFit="1"/>
    </xf>
    <xf numFmtId="165" fontId="4" fillId="7" borderId="7" xfId="2" applyNumberFormat="1" applyFont="1" applyFill="1" applyBorder="1" applyAlignment="1">
      <alignment horizontal="center" vertical="center"/>
    </xf>
    <xf numFmtId="165" fontId="4" fillId="7" borderId="9" xfId="2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9" fillId="4" borderId="7" xfId="0" applyFont="1" applyFill="1" applyBorder="1" applyAlignment="1">
      <alignment horizontal="center" shrinkToFit="1"/>
    </xf>
    <xf numFmtId="0" fontId="9" fillId="4" borderId="7" xfId="0" applyFont="1" applyFill="1" applyBorder="1" applyAlignment="1">
      <alignment horizontal="center" vertical="center" shrinkToFit="1"/>
    </xf>
    <xf numFmtId="0" fontId="7" fillId="2" borderId="7" xfId="0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0" fontId="7" fillId="4" borderId="7" xfId="0" applyFont="1" applyFill="1" applyBorder="1" applyAlignment="1">
      <alignment shrinkToFit="1"/>
    </xf>
    <xf numFmtId="165" fontId="9" fillId="7" borderId="7" xfId="0" applyNumberFormat="1" applyFont="1" applyFill="1" applyBorder="1" applyAlignment="1">
      <alignment horizontal="center" shrinkToFit="1"/>
    </xf>
    <xf numFmtId="0" fontId="9" fillId="7" borderId="7" xfId="0" applyFont="1" applyFill="1" applyBorder="1" applyAlignment="1">
      <alignment horizontal="center" shrinkToFit="1"/>
    </xf>
    <xf numFmtId="165" fontId="9" fillId="7" borderId="1" xfId="0" applyNumberFormat="1" applyFont="1" applyFill="1" applyBorder="1" applyAlignment="1">
      <alignment horizontal="center" shrinkToFit="1"/>
    </xf>
    <xf numFmtId="0" fontId="9" fillId="6" borderId="7" xfId="0" applyFont="1" applyFill="1" applyBorder="1" applyAlignment="1">
      <alignment horizontal="center" shrinkToFit="1"/>
    </xf>
    <xf numFmtId="0" fontId="9" fillId="6" borderId="17" xfId="0" applyFont="1" applyFill="1" applyBorder="1" applyAlignment="1">
      <alignment horizontal="center" shrinkToFit="1"/>
    </xf>
    <xf numFmtId="165" fontId="9" fillId="7" borderId="19" xfId="0" applyNumberFormat="1" applyFont="1" applyFill="1" applyBorder="1" applyAlignment="1">
      <alignment horizontal="center" shrinkToFit="1"/>
    </xf>
    <xf numFmtId="0" fontId="7" fillId="11" borderId="19" xfId="0" applyFont="1" applyFill="1" applyBorder="1" applyAlignment="1">
      <alignment horizontal="center" vertical="center"/>
    </xf>
    <xf numFmtId="164" fontId="12" fillId="0" borderId="19" xfId="1" applyFont="1" applyBorder="1" applyAlignment="1">
      <alignment vertical="center"/>
    </xf>
    <xf numFmtId="164" fontId="0" fillId="0" borderId="0" xfId="1" applyFont="1" applyAlignment="1">
      <alignment vertical="center"/>
    </xf>
    <xf numFmtId="164" fontId="12" fillId="7" borderId="19" xfId="1" applyFont="1" applyFill="1" applyBorder="1" applyAlignment="1">
      <alignment horizontal="center" vertical="center"/>
    </xf>
    <xf numFmtId="164" fontId="12" fillId="0" borderId="0" xfId="1" applyFont="1" applyAlignment="1">
      <alignment vertical="center"/>
    </xf>
    <xf numFmtId="0" fontId="0" fillId="0" borderId="0" xfId="0" applyAlignment="1">
      <alignment horizontal="center"/>
    </xf>
    <xf numFmtId="166" fontId="7" fillId="7" borderId="7" xfId="0" applyNumberFormat="1" applyFont="1" applyFill="1" applyBorder="1"/>
    <xf numFmtId="166" fontId="7" fillId="7" borderId="9" xfId="0" applyNumberFormat="1" applyFont="1" applyFill="1" applyBorder="1"/>
    <xf numFmtId="166" fontId="7" fillId="13" borderId="6" xfId="0" applyNumberFormat="1" applyFont="1" applyFill="1" applyBorder="1"/>
    <xf numFmtId="166" fontId="7" fillId="13" borderId="10" xfId="0" applyNumberFormat="1" applyFont="1" applyFill="1" applyBorder="1"/>
    <xf numFmtId="166" fontId="7" fillId="13" borderId="17" xfId="0" applyNumberFormat="1" applyFont="1" applyFill="1" applyBorder="1"/>
    <xf numFmtId="166" fontId="7" fillId="13" borderId="22" xfId="0" applyNumberFormat="1" applyFont="1" applyFill="1" applyBorder="1"/>
    <xf numFmtId="164" fontId="9" fillId="7" borderId="7" xfId="1" applyFont="1" applyFill="1" applyBorder="1" applyAlignment="1">
      <alignment horizontal="center" shrinkToFit="1"/>
    </xf>
    <xf numFmtId="164" fontId="9" fillId="7" borderId="1" xfId="1" applyFont="1" applyFill="1" applyBorder="1" applyAlignment="1">
      <alignment horizontal="center" shrinkToFit="1"/>
    </xf>
    <xf numFmtId="164" fontId="9" fillId="7" borderId="19" xfId="1" applyFont="1" applyFill="1" applyBorder="1" applyAlignment="1">
      <alignment horizontal="center" shrinkToFit="1"/>
    </xf>
    <xf numFmtId="164" fontId="7" fillId="0" borderId="0" xfId="1" applyFont="1" applyAlignment="1">
      <alignment shrinkToFit="1"/>
    </xf>
    <xf numFmtId="164" fontId="4" fillId="0" borderId="0" xfId="1" applyFont="1" applyAlignment="1">
      <alignment shrinkToFit="1"/>
    </xf>
    <xf numFmtId="164" fontId="9" fillId="0" borderId="0" xfId="1" applyFont="1" applyAlignment="1">
      <alignment shrinkToFit="1"/>
    </xf>
    <xf numFmtId="164" fontId="7" fillId="2" borderId="7" xfId="1" applyFont="1" applyFill="1" applyBorder="1" applyAlignment="1">
      <alignment shrinkToFit="1"/>
    </xf>
    <xf numFmtId="164" fontId="7" fillId="3" borderId="7" xfId="1" applyFont="1" applyFill="1" applyBorder="1" applyAlignment="1">
      <alignment shrinkToFit="1"/>
    </xf>
    <xf numFmtId="164" fontId="0" fillId="0" borderId="0" xfId="1" applyFont="1"/>
    <xf numFmtId="0" fontId="9" fillId="2" borderId="23" xfId="0" applyFont="1" applyFill="1" applyBorder="1" applyAlignment="1">
      <alignment horizontal="center" vertical="center" shrinkToFit="1"/>
    </xf>
    <xf numFmtId="0" fontId="9" fillId="3" borderId="23" xfId="0" applyFont="1" applyFill="1" applyBorder="1" applyAlignment="1">
      <alignment horizontal="center" vertical="center" shrinkToFit="1"/>
    </xf>
    <xf numFmtId="0" fontId="9" fillId="6" borderId="23" xfId="0" applyFont="1" applyFill="1" applyBorder="1" applyAlignment="1">
      <alignment horizontal="center" shrinkToFit="1"/>
    </xf>
    <xf numFmtId="0" fontId="9" fillId="3" borderId="23" xfId="0" applyFont="1" applyFill="1" applyBorder="1" applyAlignment="1">
      <alignment horizontal="center" shrinkToFit="1"/>
    </xf>
    <xf numFmtId="0" fontId="12" fillId="0" borderId="0" xfId="0" applyFont="1"/>
    <xf numFmtId="168" fontId="9" fillId="7" borderId="7" xfId="1" applyNumberFormat="1" applyFont="1" applyFill="1" applyBorder="1" applyAlignment="1">
      <alignment horizontal="center" shrinkToFit="1"/>
    </xf>
    <xf numFmtId="164" fontId="7" fillId="15" borderId="0" xfId="1" applyFont="1" applyFill="1" applyAlignment="1">
      <alignment shrinkToFit="1"/>
    </xf>
    <xf numFmtId="164" fontId="7" fillId="16" borderId="12" xfId="1" applyFont="1" applyFill="1" applyBorder="1" applyAlignment="1">
      <alignment horizontal="left" indent="1" shrinkToFit="1"/>
    </xf>
    <xf numFmtId="164" fontId="7" fillId="16" borderId="19" xfId="1" applyFont="1" applyFill="1" applyBorder="1" applyAlignment="1">
      <alignment horizontal="left" indent="1" shrinkToFit="1"/>
    </xf>
    <xf numFmtId="0" fontId="7" fillId="0" borderId="0" xfId="0" applyFont="1" applyAlignment="1">
      <alignment horizontal="center" shrinkToFit="1"/>
    </xf>
    <xf numFmtId="164" fontId="7" fillId="17" borderId="12" xfId="1" applyFont="1" applyFill="1" applyBorder="1" applyAlignment="1">
      <alignment shrinkToFit="1"/>
    </xf>
    <xf numFmtId="164" fontId="7" fillId="17" borderId="14" xfId="1" applyFont="1" applyFill="1" applyBorder="1" applyAlignment="1">
      <alignment shrinkToFit="1"/>
    </xf>
    <xf numFmtId="165" fontId="9" fillId="3" borderId="7" xfId="0" applyNumberFormat="1" applyFont="1" applyFill="1" applyBorder="1" applyAlignment="1">
      <alignment horizontal="center" vertical="center" shrinkToFit="1"/>
    </xf>
    <xf numFmtId="164" fontId="7" fillId="0" borderId="0" xfId="1" applyFont="1" applyAlignment="1">
      <alignment horizontal="right" shrinkToFit="1"/>
    </xf>
    <xf numFmtId="164" fontId="9" fillId="7" borderId="12" xfId="1" applyFont="1" applyFill="1" applyBorder="1" applyAlignment="1">
      <alignment horizontal="center" shrinkToFit="1"/>
    </xf>
    <xf numFmtId="164" fontId="7" fillId="0" borderId="7" xfId="1" applyFont="1" applyBorder="1" applyAlignment="1">
      <alignment shrinkToFit="1"/>
    </xf>
    <xf numFmtId="165" fontId="14" fillId="7" borderId="7" xfId="0" applyNumberFormat="1" applyFont="1" applyFill="1" applyBorder="1" applyAlignment="1">
      <alignment horizontal="center" shrinkToFit="1"/>
    </xf>
    <xf numFmtId="0" fontId="7" fillId="0" borderId="0" xfId="0" applyFont="1" applyAlignment="1">
      <alignment horizontal="left" indent="1" shrinkToFit="1"/>
    </xf>
    <xf numFmtId="168" fontId="13" fillId="7" borderId="7" xfId="1" applyNumberFormat="1" applyFont="1" applyFill="1" applyBorder="1" applyAlignment="1">
      <alignment horizontal="center" shrinkToFit="1"/>
    </xf>
    <xf numFmtId="168" fontId="14" fillId="7" borderId="7" xfId="1" applyNumberFormat="1" applyFont="1" applyFill="1" applyBorder="1" applyAlignment="1">
      <alignment horizontal="center" shrinkToFit="1"/>
    </xf>
    <xf numFmtId="164" fontId="14" fillId="7" borderId="7" xfId="1" applyFont="1" applyFill="1" applyBorder="1" applyAlignment="1">
      <alignment horizontal="center" shrinkToFit="1"/>
    </xf>
    <xf numFmtId="0" fontId="12" fillId="0" borderId="0" xfId="0" applyFont="1" applyAlignment="1">
      <alignment shrinkToFit="1"/>
    </xf>
    <xf numFmtId="165" fontId="15" fillId="10" borderId="5" xfId="2" applyNumberFormat="1" applyFont="1" applyFill="1" applyBorder="1" applyAlignment="1">
      <alignment horizontal="center" vertical="center"/>
    </xf>
    <xf numFmtId="2" fontId="16" fillId="7" borderId="7" xfId="0" applyNumberFormat="1" applyFont="1" applyFill="1" applyBorder="1" applyAlignment="1">
      <alignment horizontal="center" shrinkToFit="1"/>
    </xf>
    <xf numFmtId="2" fontId="17" fillId="7" borderId="7" xfId="0" applyNumberFormat="1" applyFont="1" applyFill="1" applyBorder="1" applyAlignment="1">
      <alignment horizontal="center" shrinkToFit="1"/>
    </xf>
    <xf numFmtId="0" fontId="18" fillId="0" borderId="0" xfId="0" applyFont="1" applyAlignment="1">
      <alignment shrinkToFit="1"/>
    </xf>
    <xf numFmtId="16" fontId="0" fillId="0" borderId="0" xfId="0" applyNumberFormat="1"/>
    <xf numFmtId="165" fontId="13" fillId="7" borderId="7" xfId="0" applyNumberFormat="1" applyFont="1" applyFill="1" applyBorder="1" applyAlignment="1">
      <alignment horizontal="center" shrinkToFit="1"/>
    </xf>
    <xf numFmtId="14" fontId="19" fillId="0" borderId="0" xfId="0" applyNumberFormat="1" applyFont="1"/>
    <xf numFmtId="165" fontId="13" fillId="7" borderId="1" xfId="0" applyNumberFormat="1" applyFont="1" applyFill="1" applyBorder="1" applyAlignment="1">
      <alignment horizontal="center" shrinkToFit="1"/>
    </xf>
    <xf numFmtId="16" fontId="19" fillId="0" borderId="0" xfId="0" applyNumberFormat="1" applyFont="1"/>
    <xf numFmtId="2" fontId="9" fillId="7" borderId="7" xfId="0" applyNumberFormat="1" applyFont="1" applyFill="1" applyBorder="1" applyAlignment="1">
      <alignment horizontal="center" shrinkToFit="1"/>
    </xf>
    <xf numFmtId="2" fontId="14" fillId="7" borderId="7" xfId="0" applyNumberFormat="1" applyFont="1" applyFill="1" applyBorder="1" applyAlignment="1">
      <alignment horizontal="center" shrinkToFit="1"/>
    </xf>
    <xf numFmtId="0" fontId="0" fillId="0" borderId="16" xfId="0" applyBorder="1"/>
    <xf numFmtId="0" fontId="0" fillId="0" borderId="24" xfId="0" applyBorder="1"/>
    <xf numFmtId="0" fontId="9" fillId="4" borderId="5" xfId="0" applyFont="1" applyFill="1" applyBorder="1" applyAlignment="1">
      <alignment horizontal="center" shrinkToFit="1"/>
    </xf>
    <xf numFmtId="0" fontId="9" fillId="4" borderId="8" xfId="0" applyFont="1" applyFill="1" applyBorder="1" applyAlignment="1">
      <alignment horizontal="center" shrinkToFit="1"/>
    </xf>
    <xf numFmtId="0" fontId="9" fillId="3" borderId="6" xfId="0" applyFont="1" applyFill="1" applyBorder="1" applyAlignment="1">
      <alignment horizontal="center" shrinkToFit="1"/>
    </xf>
    <xf numFmtId="0" fontId="9" fillId="3" borderId="10" xfId="0" applyFont="1" applyFill="1" applyBorder="1" applyAlignment="1">
      <alignment horizontal="center" shrinkToFit="1"/>
    </xf>
    <xf numFmtId="169" fontId="9" fillId="7" borderId="7" xfId="1" applyNumberFormat="1" applyFont="1" applyFill="1" applyBorder="1" applyAlignment="1">
      <alignment horizontal="center" shrinkToFit="1"/>
    </xf>
    <xf numFmtId="44" fontId="0" fillId="0" borderId="0" xfId="0" applyNumberFormat="1"/>
    <xf numFmtId="168" fontId="7" fillId="0" borderId="0" xfId="1" applyNumberFormat="1" applyFont="1" applyAlignment="1">
      <alignment shrinkToFi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3" applyFont="1" applyAlignment="1">
      <alignment horizontal="center"/>
    </xf>
    <xf numFmtId="0" fontId="5" fillId="0" borderId="0" xfId="0" applyFont="1" applyAlignment="1">
      <alignment horizontal="center"/>
    </xf>
    <xf numFmtId="0" fontId="0" fillId="18" borderId="0" xfId="0" applyFill="1" applyAlignment="1">
      <alignment vertical="center"/>
    </xf>
    <xf numFmtId="0" fontId="0" fillId="18" borderId="0" xfId="0" applyFill="1"/>
    <xf numFmtId="0" fontId="0" fillId="9" borderId="0" xfId="0" applyFill="1" applyAlignment="1">
      <alignment horizontal="center" wrapText="1"/>
    </xf>
    <xf numFmtId="0" fontId="12" fillId="0" borderId="0" xfId="0" applyFont="1" applyAlignment="1">
      <alignment horizontal="center"/>
    </xf>
    <xf numFmtId="0" fontId="3" fillId="18" borderId="0" xfId="3" applyFill="1" applyAlignment="1">
      <alignment horizontal="center"/>
    </xf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/>
    <xf numFmtId="0" fontId="22" fillId="0" borderId="0" xfId="0" applyFont="1"/>
    <xf numFmtId="165" fontId="0" fillId="0" borderId="0" xfId="0" applyNumberFormat="1" applyAlignment="1">
      <alignment horizontal="center" vertical="center"/>
    </xf>
    <xf numFmtId="169" fontId="9" fillId="7" borderId="26" xfId="1" applyNumberFormat="1" applyFont="1" applyFill="1" applyBorder="1" applyAlignment="1">
      <alignment horizontal="center" shrinkToFit="1"/>
    </xf>
    <xf numFmtId="168" fontId="14" fillId="7" borderId="26" xfId="1" applyNumberFormat="1" applyFont="1" applyFill="1" applyBorder="1" applyAlignment="1">
      <alignment horizontal="center" shrinkToFit="1"/>
    </xf>
    <xf numFmtId="168" fontId="9" fillId="7" borderId="26" xfId="1" applyNumberFormat="1" applyFont="1" applyFill="1" applyBorder="1" applyAlignment="1">
      <alignment horizontal="center" shrinkToFit="1"/>
    </xf>
    <xf numFmtId="165" fontId="15" fillId="10" borderId="15" xfId="2" applyNumberFormat="1" applyFont="1" applyFill="1" applyBorder="1" applyAlignment="1">
      <alignment horizontal="center" vertical="center"/>
    </xf>
    <xf numFmtId="165" fontId="4" fillId="7" borderId="23" xfId="2" applyNumberFormat="1" applyFont="1" applyFill="1" applyBorder="1" applyAlignment="1">
      <alignment horizontal="center" vertical="center"/>
    </xf>
    <xf numFmtId="166" fontId="7" fillId="7" borderId="23" xfId="0" applyNumberFormat="1" applyFont="1" applyFill="1" applyBorder="1"/>
    <xf numFmtId="166" fontId="7" fillId="13" borderId="18" xfId="0" applyNumberFormat="1" applyFont="1" applyFill="1" applyBorder="1"/>
    <xf numFmtId="166" fontId="7" fillId="13" borderId="31" xfId="0" applyNumberFormat="1" applyFont="1" applyFill="1" applyBorder="1"/>
    <xf numFmtId="0" fontId="7" fillId="5" borderId="25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168" fontId="9" fillId="7" borderId="23" xfId="1" applyNumberFormat="1" applyFont="1" applyFill="1" applyBorder="1" applyAlignment="1">
      <alignment horizontal="center" shrinkToFit="1"/>
    </xf>
    <xf numFmtId="168" fontId="14" fillId="7" borderId="23" xfId="1" applyNumberFormat="1" applyFont="1" applyFill="1" applyBorder="1" applyAlignment="1">
      <alignment horizontal="center" shrinkToFit="1"/>
    </xf>
    <xf numFmtId="0" fontId="9" fillId="2" borderId="25" xfId="0" applyFont="1" applyFill="1" applyBorder="1" applyAlignment="1">
      <alignment horizontal="center" vertical="center" shrinkToFit="1"/>
    </xf>
    <xf numFmtId="0" fontId="9" fillId="3" borderId="32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9" fillId="3" borderId="14" xfId="0" applyFont="1" applyFill="1" applyBorder="1" applyAlignment="1">
      <alignment horizontal="center" vertical="center" shrinkToFit="1"/>
    </xf>
    <xf numFmtId="0" fontId="9" fillId="3" borderId="19" xfId="0" applyFont="1" applyFill="1" applyBorder="1" applyAlignment="1">
      <alignment horizontal="center" vertical="center" shrinkToFit="1"/>
    </xf>
    <xf numFmtId="164" fontId="9" fillId="7" borderId="23" xfId="1" applyFont="1" applyFill="1" applyBorder="1" applyAlignment="1">
      <alignment horizontal="center" shrinkToFit="1"/>
    </xf>
    <xf numFmtId="0" fontId="0" fillId="0" borderId="13" xfId="0" applyBorder="1"/>
    <xf numFmtId="0" fontId="9" fillId="3" borderId="34" xfId="0" applyFont="1" applyFill="1" applyBorder="1" applyAlignment="1">
      <alignment horizontal="center" vertical="center" shrinkToFit="1"/>
    </xf>
    <xf numFmtId="0" fontId="9" fillId="4" borderId="15" xfId="0" applyFont="1" applyFill="1" applyBorder="1" applyAlignment="1">
      <alignment horizontal="center" shrinkToFit="1"/>
    </xf>
    <xf numFmtId="168" fontId="14" fillId="7" borderId="31" xfId="1" applyNumberFormat="1" applyFont="1" applyFill="1" applyBorder="1" applyAlignment="1">
      <alignment horizontal="center" shrinkToFit="1"/>
    </xf>
    <xf numFmtId="168" fontId="14" fillId="7" borderId="6" xfId="1" applyNumberFormat="1" applyFont="1" applyFill="1" applyBorder="1" applyAlignment="1">
      <alignment horizontal="center" shrinkToFit="1"/>
    </xf>
    <xf numFmtId="168" fontId="9" fillId="7" borderId="9" xfId="1" applyNumberFormat="1" applyFont="1" applyFill="1" applyBorder="1" applyAlignment="1">
      <alignment horizontal="center" shrinkToFit="1"/>
    </xf>
    <xf numFmtId="168" fontId="14" fillId="7" borderId="10" xfId="1" applyNumberFormat="1" applyFont="1" applyFill="1" applyBorder="1" applyAlignment="1">
      <alignment horizontal="center" shrinkToFit="1"/>
    </xf>
    <xf numFmtId="0" fontId="0" fillId="0" borderId="0" xfId="0" applyBorder="1"/>
    <xf numFmtId="164" fontId="14" fillId="7" borderId="31" xfId="1" applyNumberFormat="1" applyFont="1" applyFill="1" applyBorder="1" applyAlignment="1">
      <alignment horizontal="center" shrinkToFit="1"/>
    </xf>
    <xf numFmtId="164" fontId="14" fillId="7" borderId="6" xfId="1" applyNumberFormat="1" applyFont="1" applyFill="1" applyBorder="1" applyAlignment="1">
      <alignment horizontal="center" shrinkToFit="1"/>
    </xf>
    <xf numFmtId="164" fontId="9" fillId="7" borderId="9" xfId="1" applyFont="1" applyFill="1" applyBorder="1" applyAlignment="1">
      <alignment horizontal="center" shrinkToFit="1"/>
    </xf>
    <xf numFmtId="164" fontId="14" fillId="7" borderId="9" xfId="1" applyFont="1" applyFill="1" applyBorder="1" applyAlignment="1">
      <alignment horizontal="center" shrinkToFit="1"/>
    </xf>
    <xf numFmtId="0" fontId="0" fillId="0" borderId="20" xfId="0" applyBorder="1"/>
    <xf numFmtId="164" fontId="14" fillId="7" borderId="10" xfId="1" applyNumberFormat="1" applyFont="1" applyFill="1" applyBorder="1" applyAlignment="1">
      <alignment horizontal="center" shrinkToFit="1"/>
    </xf>
    <xf numFmtId="0" fontId="9" fillId="3" borderId="34" xfId="0" applyFont="1" applyFill="1" applyBorder="1" applyAlignment="1">
      <alignment horizontal="center" vertical="center" wrapText="1" shrinkToFit="1"/>
    </xf>
    <xf numFmtId="0" fontId="9" fillId="3" borderId="19" xfId="0" applyFont="1" applyFill="1" applyBorder="1" applyAlignment="1">
      <alignment horizontal="center" vertical="center" wrapText="1" shrinkToFit="1"/>
    </xf>
    <xf numFmtId="0" fontId="9" fillId="3" borderId="14" xfId="0" applyFont="1" applyFill="1" applyBorder="1" applyAlignment="1">
      <alignment horizontal="center" vertical="center" wrapText="1" shrinkToFit="1"/>
    </xf>
    <xf numFmtId="0" fontId="9" fillId="4" borderId="2" xfId="0" applyFont="1" applyFill="1" applyBorder="1" applyAlignment="1">
      <alignment horizontal="center" shrinkToFit="1"/>
    </xf>
    <xf numFmtId="169" fontId="9" fillId="7" borderId="3" xfId="1" applyNumberFormat="1" applyFont="1" applyFill="1" applyBorder="1" applyAlignment="1">
      <alignment horizontal="center" shrinkToFit="1"/>
    </xf>
    <xf numFmtId="168" fontId="14" fillId="7" borderId="3" xfId="1" applyNumberFormat="1" applyFont="1" applyFill="1" applyBorder="1" applyAlignment="1">
      <alignment horizontal="center" shrinkToFit="1"/>
    </xf>
    <xf numFmtId="0" fontId="0" fillId="0" borderId="21" xfId="0" applyBorder="1"/>
    <xf numFmtId="168" fontId="9" fillId="7" borderId="3" xfId="1" applyNumberFormat="1" applyFont="1" applyFill="1" applyBorder="1" applyAlignment="1">
      <alignment horizontal="center" shrinkToFit="1"/>
    </xf>
    <xf numFmtId="164" fontId="9" fillId="7" borderId="4" xfId="1" applyFont="1" applyFill="1" applyBorder="1" applyAlignment="1">
      <alignment horizontal="center" shrinkToFit="1"/>
    </xf>
    <xf numFmtId="164" fontId="9" fillId="7" borderId="6" xfId="1" applyFont="1" applyFill="1" applyBorder="1" applyAlignment="1">
      <alignment horizontal="center" shrinkToFit="1"/>
    </xf>
    <xf numFmtId="0" fontId="7" fillId="4" borderId="5" xfId="0" applyFont="1" applyFill="1" applyBorder="1" applyAlignment="1">
      <alignment horizontal="center" shrinkToFit="1"/>
    </xf>
    <xf numFmtId="0" fontId="7" fillId="4" borderId="8" xfId="0" applyFont="1" applyFill="1" applyBorder="1" applyAlignment="1">
      <alignment horizontal="center" shrinkToFit="1"/>
    </xf>
    <xf numFmtId="169" fontId="9" fillId="7" borderId="9" xfId="1" applyNumberFormat="1" applyFont="1" applyFill="1" applyBorder="1" applyAlignment="1">
      <alignment horizontal="center" shrinkToFit="1"/>
    </xf>
    <xf numFmtId="168" fontId="14" fillId="7" borderId="9" xfId="1" applyNumberFormat="1" applyFont="1" applyFill="1" applyBorder="1" applyAlignment="1">
      <alignment horizontal="center" shrinkToFit="1"/>
    </xf>
    <xf numFmtId="164" fontId="9" fillId="7" borderId="10" xfId="1" applyFont="1" applyFill="1" applyBorder="1" applyAlignment="1">
      <alignment horizontal="center" shrinkToFit="1"/>
    </xf>
    <xf numFmtId="0" fontId="20" fillId="4" borderId="35" xfId="0" applyFont="1" applyFill="1" applyBorder="1" applyAlignment="1">
      <alignment horizontal="center" shrinkToFit="1"/>
    </xf>
    <xf numFmtId="164" fontId="9" fillId="7" borderId="36" xfId="1" applyFont="1" applyFill="1" applyBorder="1" applyAlignment="1">
      <alignment horizontal="center" shrinkToFit="1"/>
    </xf>
    <xf numFmtId="0" fontId="0" fillId="0" borderId="9" xfId="0" applyBorder="1"/>
    <xf numFmtId="0" fontId="13" fillId="4" borderId="5" xfId="0" applyFont="1" applyFill="1" applyBorder="1" applyAlignment="1">
      <alignment horizontal="center" shrinkToFit="1"/>
    </xf>
    <xf numFmtId="0" fontId="4" fillId="18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wrapText="1"/>
    </xf>
    <xf numFmtId="0" fontId="0" fillId="20" borderId="27" xfId="0" applyFill="1" applyBorder="1" applyAlignment="1">
      <alignment horizontal="center" vertical="center" wrapText="1"/>
    </xf>
    <xf numFmtId="0" fontId="0" fillId="19" borderId="30" xfId="0" applyFill="1" applyBorder="1" applyAlignment="1">
      <alignment horizontal="center" vertical="center"/>
    </xf>
    <xf numFmtId="16" fontId="4" fillId="0" borderId="0" xfId="0" applyNumberFormat="1" applyFont="1" applyAlignment="1">
      <alignment shrinkToFit="1"/>
    </xf>
    <xf numFmtId="0" fontId="0" fillId="0" borderId="7" xfId="0" applyBorder="1"/>
    <xf numFmtId="169" fontId="9" fillId="7" borderId="23" xfId="1" applyNumberFormat="1" applyFont="1" applyFill="1" applyBorder="1" applyAlignment="1">
      <alignment horizontal="center" shrinkToFit="1"/>
    </xf>
    <xf numFmtId="0" fontId="0" fillId="0" borderId="7" xfId="0" applyFill="1" applyBorder="1" applyAlignment="1">
      <alignment horizontal="center" wrapText="1"/>
    </xf>
    <xf numFmtId="164" fontId="9" fillId="7" borderId="31" xfId="1" applyFont="1" applyFill="1" applyBorder="1" applyAlignment="1">
      <alignment horizontal="center" shrinkToFit="1"/>
    </xf>
    <xf numFmtId="165" fontId="9" fillId="7" borderId="23" xfId="0" applyNumberFormat="1" applyFont="1" applyFill="1" applyBorder="1" applyAlignment="1">
      <alignment horizontal="center" vertical="center" wrapText="1" shrinkToFit="1"/>
    </xf>
    <xf numFmtId="0" fontId="9" fillId="7" borderId="3" xfId="0" applyFont="1" applyFill="1" applyBorder="1" applyAlignment="1">
      <alignment horizontal="center" vertical="center" wrapText="1" shrinkToFit="1"/>
    </xf>
    <xf numFmtId="0" fontId="0" fillId="7" borderId="3" xfId="0" applyFill="1" applyBorder="1"/>
    <xf numFmtId="0" fontId="0" fillId="0" borderId="26" xfId="0" applyBorder="1"/>
    <xf numFmtId="0" fontId="0" fillId="7" borderId="0" xfId="0" applyFill="1" applyBorder="1"/>
    <xf numFmtId="0" fontId="23" fillId="0" borderId="0" xfId="0" applyFont="1"/>
    <xf numFmtId="0" fontId="0" fillId="0" borderId="37" xfId="0" applyBorder="1"/>
    <xf numFmtId="0" fontId="9" fillId="4" borderId="35" xfId="0" applyFont="1" applyFill="1" applyBorder="1" applyAlignment="1">
      <alignment horizontal="center" shrinkToFit="1"/>
    </xf>
    <xf numFmtId="0" fontId="0" fillId="0" borderId="0" xfId="0" applyAlignment="1">
      <alignment horizontal="center"/>
    </xf>
    <xf numFmtId="14" fontId="4" fillId="0" borderId="0" xfId="0" applyNumberFormat="1" applyFont="1" applyAlignment="1">
      <alignment shrinkToFit="1"/>
    </xf>
    <xf numFmtId="9" fontId="7" fillId="0" borderId="0" xfId="0" applyNumberFormat="1" applyFont="1" applyAlignment="1">
      <alignment shrinkToFit="1"/>
    </xf>
    <xf numFmtId="0" fontId="4" fillId="6" borderId="25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shrinkToFit="1"/>
    </xf>
    <xf numFmtId="164" fontId="4" fillId="0" borderId="0" xfId="1" applyFont="1" applyAlignment="1">
      <alignment horizontal="left" indent="2" shrinkToFit="1"/>
    </xf>
    <xf numFmtId="9" fontId="0" fillId="0" borderId="0" xfId="0" applyNumberFormat="1" applyAlignment="1">
      <alignment horizontal="left"/>
    </xf>
    <xf numFmtId="1" fontId="7" fillId="0" borderId="0" xfId="1" applyNumberFormat="1" applyFont="1" applyAlignment="1">
      <alignment shrinkToFit="1"/>
    </xf>
    <xf numFmtId="0" fontId="24" fillId="0" borderId="0" xfId="0" applyFont="1"/>
    <xf numFmtId="0" fontId="9" fillId="3" borderId="38" xfId="0" applyFont="1" applyFill="1" applyBorder="1" applyAlignment="1">
      <alignment horizontal="center" vertical="center" wrapText="1" shrinkToFit="1"/>
    </xf>
    <xf numFmtId="165" fontId="9" fillId="7" borderId="3" xfId="0" applyNumberFormat="1" applyFont="1" applyFill="1" applyBorder="1" applyAlignment="1">
      <alignment horizontal="center" vertical="center" wrapText="1" shrinkToFit="1"/>
    </xf>
    <xf numFmtId="0" fontId="9" fillId="2" borderId="19" xfId="0" applyFont="1" applyFill="1" applyBorder="1" applyAlignment="1">
      <alignment horizontal="center" vertical="center" shrinkToFit="1"/>
    </xf>
    <xf numFmtId="0" fontId="3" fillId="0" borderId="0" xfId="3" applyAlignment="1">
      <alignment vertical="center"/>
    </xf>
    <xf numFmtId="0" fontId="25" fillId="4" borderId="2" xfId="0" applyFont="1" applyFill="1" applyBorder="1" applyAlignment="1">
      <alignment horizontal="center" shrinkToFit="1"/>
    </xf>
    <xf numFmtId="0" fontId="26" fillId="0" borderId="7" xfId="0" applyFont="1" applyBorder="1" applyAlignment="1">
      <alignment horizontal="center"/>
    </xf>
    <xf numFmtId="9" fontId="7" fillId="0" borderId="19" xfId="0" applyNumberFormat="1" applyFont="1" applyBorder="1" applyAlignment="1">
      <alignment shrinkToFit="1"/>
    </xf>
    <xf numFmtId="165" fontId="15" fillId="10" borderId="8" xfId="2" applyNumberFormat="1" applyFont="1" applyFill="1" applyBorder="1" applyAlignment="1">
      <alignment horizontal="center" vertical="center"/>
    </xf>
    <xf numFmtId="0" fontId="27" fillId="0" borderId="7" xfId="0" applyFont="1" applyBorder="1" applyAlignment="1">
      <alignment horizontal="center"/>
    </xf>
    <xf numFmtId="165" fontId="27" fillId="0" borderId="7" xfId="0" applyNumberFormat="1" applyFont="1" applyBorder="1" applyAlignment="1">
      <alignment horizontal="center"/>
    </xf>
    <xf numFmtId="0" fontId="27" fillId="0" borderId="7" xfId="0" applyFont="1" applyBorder="1" applyAlignment="1">
      <alignment horizontal="center" vertical="top"/>
    </xf>
    <xf numFmtId="165" fontId="26" fillId="0" borderId="7" xfId="0" applyNumberFormat="1" applyFont="1" applyBorder="1" applyAlignment="1">
      <alignment horizontal="center"/>
    </xf>
    <xf numFmtId="165" fontId="28" fillId="18" borderId="7" xfId="0" applyNumberFormat="1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7" xfId="0" applyFont="1" applyFill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9" fillId="4" borderId="27" xfId="0" applyFont="1" applyFill="1" applyBorder="1" applyAlignment="1">
      <alignment horizontal="center" shrinkToFit="1"/>
    </xf>
    <xf numFmtId="169" fontId="9" fillId="7" borderId="28" xfId="1" applyNumberFormat="1" applyFont="1" applyFill="1" applyBorder="1" applyAlignment="1">
      <alignment horizontal="center" shrinkToFit="1"/>
    </xf>
    <xf numFmtId="168" fontId="14" fillId="7" borderId="28" xfId="1" applyNumberFormat="1" applyFont="1" applyFill="1" applyBorder="1" applyAlignment="1">
      <alignment horizontal="center" shrinkToFit="1"/>
    </xf>
    <xf numFmtId="168" fontId="9" fillId="7" borderId="28" xfId="1" applyNumberFormat="1" applyFont="1" applyFill="1" applyBorder="1" applyAlignment="1">
      <alignment horizontal="center" shrinkToFit="1"/>
    </xf>
    <xf numFmtId="164" fontId="9" fillId="7" borderId="30" xfId="1" applyFont="1" applyFill="1" applyBorder="1" applyAlignment="1">
      <alignment horizontal="center" shrinkToFit="1"/>
    </xf>
    <xf numFmtId="44" fontId="30" fillId="0" borderId="0" xfId="0" applyNumberFormat="1" applyFont="1"/>
    <xf numFmtId="0" fontId="30" fillId="0" borderId="0" xfId="0" applyFont="1"/>
    <xf numFmtId="164" fontId="13" fillId="0" borderId="0" xfId="1" applyFont="1" applyAlignment="1">
      <alignment shrinkToFit="1"/>
    </xf>
    <xf numFmtId="0" fontId="13" fillId="0" borderId="0" xfId="0" applyFont="1" applyAlignment="1">
      <alignment shrinkToFit="1"/>
    </xf>
    <xf numFmtId="0" fontId="28" fillId="0" borderId="0" xfId="0" applyFont="1" applyAlignment="1">
      <alignment shrinkToFit="1"/>
    </xf>
    <xf numFmtId="9" fontId="13" fillId="0" borderId="0" xfId="0" applyNumberFormat="1" applyFont="1" applyAlignment="1">
      <alignment shrinkToFit="1"/>
    </xf>
    <xf numFmtId="0" fontId="31" fillId="0" borderId="0" xfId="0" applyFont="1"/>
    <xf numFmtId="44" fontId="19" fillId="0" borderId="0" xfId="0" applyNumberFormat="1" applyFont="1"/>
    <xf numFmtId="44" fontId="0" fillId="0" borderId="0" xfId="0" applyNumberFormat="1" applyAlignment="1">
      <alignment shrinkToFit="1"/>
    </xf>
    <xf numFmtId="44" fontId="9" fillId="0" borderId="0" xfId="0" applyNumberFormat="1" applyFont="1" applyAlignment="1">
      <alignment shrinkToFit="1"/>
    </xf>
    <xf numFmtId="0" fontId="4" fillId="0" borderId="0" xfId="1" applyNumberFormat="1" applyFont="1" applyAlignment="1">
      <alignment shrinkToFit="1"/>
    </xf>
    <xf numFmtId="44" fontId="4" fillId="0" borderId="0" xfId="0" applyNumberFormat="1" applyFont="1" applyAlignment="1">
      <alignment shrinkToFit="1"/>
    </xf>
    <xf numFmtId="0" fontId="0" fillId="0" borderId="0" xfId="0" applyAlignment="1">
      <alignment horizontal="center"/>
    </xf>
    <xf numFmtId="0" fontId="32" fillId="0" borderId="0" xfId="0" applyFont="1"/>
    <xf numFmtId="164" fontId="33" fillId="0" borderId="0" xfId="1" applyFont="1" applyAlignment="1">
      <alignment shrinkToFit="1"/>
    </xf>
    <xf numFmtId="0" fontId="33" fillId="0" borderId="0" xfId="0" applyFont="1" applyAlignment="1">
      <alignment shrinkToFit="1"/>
    </xf>
    <xf numFmtId="0" fontId="34" fillId="0" borderId="0" xfId="0" applyFont="1" applyAlignment="1">
      <alignment shrinkToFit="1"/>
    </xf>
    <xf numFmtId="165" fontId="0" fillId="0" borderId="7" xfId="0" applyNumberFormat="1" applyBorder="1" applyAlignment="1">
      <alignment horizontal="center"/>
    </xf>
    <xf numFmtId="0" fontId="35" fillId="4" borderId="35" xfId="0" applyFont="1" applyFill="1" applyBorder="1" applyAlignment="1">
      <alignment horizontal="center" shrinkToFit="1"/>
    </xf>
    <xf numFmtId="4" fontId="36" fillId="0" borderId="0" xfId="0" applyNumberFormat="1" applyFont="1"/>
    <xf numFmtId="167" fontId="4" fillId="0" borderId="12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0" fontId="9" fillId="10" borderId="15" xfId="0" applyFont="1" applyFill="1" applyBorder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15" fillId="10" borderId="5" xfId="0" applyFont="1" applyFill="1" applyBorder="1" applyAlignment="1">
      <alignment horizontal="center"/>
    </xf>
    <xf numFmtId="0" fontId="15" fillId="10" borderId="17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3" fillId="12" borderId="12" xfId="3" applyFill="1" applyBorder="1" applyAlignment="1">
      <alignment horizontal="center"/>
    </xf>
    <xf numFmtId="0" fontId="3" fillId="12" borderId="13" xfId="3" applyFill="1" applyBorder="1" applyAlignment="1">
      <alignment horizontal="center"/>
    </xf>
    <xf numFmtId="0" fontId="3" fillId="12" borderId="14" xfId="3" applyFill="1" applyBorder="1" applyAlignment="1">
      <alignment horizontal="center"/>
    </xf>
    <xf numFmtId="0" fontId="0" fillId="0" borderId="0" xfId="0" applyAlignment="1">
      <alignment horizont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166" fontId="6" fillId="0" borderId="12" xfId="1" applyNumberFormat="1" applyFont="1" applyBorder="1" applyAlignment="1">
      <alignment horizontal="center"/>
    </xf>
    <xf numFmtId="166" fontId="6" fillId="0" borderId="14" xfId="1" applyNumberFormat="1" applyFont="1" applyBorder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shrinkToFit="1"/>
    </xf>
    <xf numFmtId="0" fontId="7" fillId="7" borderId="13" xfId="0" applyFont="1" applyFill="1" applyBorder="1" applyAlignment="1">
      <alignment horizontal="center" vertical="center" shrinkToFit="1"/>
    </xf>
    <xf numFmtId="0" fontId="7" fillId="7" borderId="14" xfId="0" applyFont="1" applyFill="1" applyBorder="1" applyAlignment="1">
      <alignment horizontal="center" vertical="center" shrinkToFit="1"/>
    </xf>
    <xf numFmtId="0" fontId="6" fillId="14" borderId="12" xfId="0" applyFont="1" applyFill="1" applyBorder="1" applyAlignment="1">
      <alignment horizontal="center" shrinkToFit="1"/>
    </xf>
    <xf numFmtId="0" fontId="6" fillId="14" borderId="13" xfId="0" applyFont="1" applyFill="1" applyBorder="1" applyAlignment="1">
      <alignment horizontal="center" shrinkToFit="1"/>
    </xf>
    <xf numFmtId="0" fontId="6" fillId="14" borderId="14" xfId="0" applyFont="1" applyFill="1" applyBorder="1" applyAlignment="1">
      <alignment horizontal="center" shrinkToFit="1"/>
    </xf>
    <xf numFmtId="0" fontId="6" fillId="11" borderId="12" xfId="0" applyFont="1" applyFill="1" applyBorder="1" applyAlignment="1">
      <alignment horizontal="center" shrinkToFit="1"/>
    </xf>
    <xf numFmtId="0" fontId="6" fillId="11" borderId="13" xfId="0" applyFont="1" applyFill="1" applyBorder="1" applyAlignment="1">
      <alignment horizontal="center" shrinkToFit="1"/>
    </xf>
    <xf numFmtId="0" fontId="6" fillId="11" borderId="14" xfId="0" applyFont="1" applyFill="1" applyBorder="1" applyAlignment="1">
      <alignment horizontal="center" shrinkToFit="1"/>
    </xf>
    <xf numFmtId="164" fontId="7" fillId="7" borderId="12" xfId="1" applyFont="1" applyFill="1" applyBorder="1" applyAlignment="1">
      <alignment horizontal="center" vertical="center" shrinkToFit="1"/>
    </xf>
    <xf numFmtId="164" fontId="7" fillId="7" borderId="13" xfId="1" applyFont="1" applyFill="1" applyBorder="1" applyAlignment="1">
      <alignment horizontal="center" vertical="center" shrinkToFit="1"/>
    </xf>
    <xf numFmtId="164" fontId="7" fillId="7" borderId="14" xfId="1" applyFont="1" applyFill="1" applyBorder="1" applyAlignment="1">
      <alignment horizontal="center" vertical="center" shrinkToFit="1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jpg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465962</xdr:colOff>
      <xdr:row>0</xdr:row>
      <xdr:rowOff>31481</xdr:rowOff>
    </xdr:from>
    <xdr:to>
      <xdr:col>9</xdr:col>
      <xdr:colOff>241444</xdr:colOff>
      <xdr:row>3</xdr:row>
      <xdr:rowOff>89614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3933062" y="31481"/>
          <a:ext cx="1585232" cy="7725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34925</xdr:colOff>
      <xdr:row>164</xdr:row>
      <xdr:rowOff>66675</xdr:rowOff>
    </xdr:from>
    <xdr:to>
      <xdr:col>3</xdr:col>
      <xdr:colOff>130175</xdr:colOff>
      <xdr:row>164</xdr:row>
      <xdr:rowOff>174625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11450" y="37357050"/>
          <a:ext cx="95250" cy="107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53975</xdr:colOff>
      <xdr:row>186</xdr:row>
      <xdr:rowOff>76200</xdr:rowOff>
    </xdr:from>
    <xdr:to>
      <xdr:col>3</xdr:col>
      <xdr:colOff>149225</xdr:colOff>
      <xdr:row>186</xdr:row>
      <xdr:rowOff>184150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30500" y="41414700"/>
          <a:ext cx="95250" cy="107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53975</xdr:colOff>
      <xdr:row>189</xdr:row>
      <xdr:rowOff>76200</xdr:rowOff>
    </xdr:from>
    <xdr:to>
      <xdr:col>3</xdr:col>
      <xdr:colOff>149225</xdr:colOff>
      <xdr:row>189</xdr:row>
      <xdr:rowOff>184150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730500" y="41652825"/>
          <a:ext cx="95250" cy="107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3</xdr:col>
      <xdr:colOff>66675</xdr:colOff>
      <xdr:row>137</xdr:row>
      <xdr:rowOff>47625</xdr:rowOff>
    </xdr:from>
    <xdr:to>
      <xdr:col>3</xdr:col>
      <xdr:colOff>182509</xdr:colOff>
      <xdr:row>137</xdr:row>
      <xdr:rowOff>181749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E7DA53-C68C-47AD-AF5A-080FB94E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33642300"/>
          <a:ext cx="115834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165</xdr:row>
      <xdr:rowOff>47625</xdr:rowOff>
    </xdr:from>
    <xdr:to>
      <xdr:col>3</xdr:col>
      <xdr:colOff>144409</xdr:colOff>
      <xdr:row>165</xdr:row>
      <xdr:rowOff>181749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602D6C-1825-48A3-9457-2BEE9177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" y="38052375"/>
          <a:ext cx="115834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56122</xdr:colOff>
      <xdr:row>204</xdr:row>
      <xdr:rowOff>66675</xdr:rowOff>
    </xdr:from>
    <xdr:to>
      <xdr:col>3</xdr:col>
      <xdr:colOff>186009</xdr:colOff>
      <xdr:row>204</xdr:row>
      <xdr:rowOff>209551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B96E81E-A890-4081-8BE9-5898ADECE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2647" y="43691175"/>
          <a:ext cx="129887" cy="142876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190</xdr:row>
      <xdr:rowOff>57150</xdr:rowOff>
    </xdr:from>
    <xdr:to>
      <xdr:col>3</xdr:col>
      <xdr:colOff>169556</xdr:colOff>
      <xdr:row>190</xdr:row>
      <xdr:rowOff>191274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4794C0A-A9BF-4F1D-A42D-AF8DF74D2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50" y="41871900"/>
          <a:ext cx="121931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191</xdr:row>
      <xdr:rowOff>57150</xdr:rowOff>
    </xdr:from>
    <xdr:to>
      <xdr:col>3</xdr:col>
      <xdr:colOff>169556</xdr:colOff>
      <xdr:row>191</xdr:row>
      <xdr:rowOff>191274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EC23749-DA89-4159-9F4B-B3D07EC5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50" y="42110025"/>
          <a:ext cx="121931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193</xdr:row>
      <xdr:rowOff>57150</xdr:rowOff>
    </xdr:from>
    <xdr:to>
      <xdr:col>3</xdr:col>
      <xdr:colOff>169556</xdr:colOff>
      <xdr:row>193</xdr:row>
      <xdr:rowOff>191274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91AA9E8-349A-4D9E-B418-51A855543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50" y="42348150"/>
          <a:ext cx="121931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192</xdr:row>
      <xdr:rowOff>57150</xdr:rowOff>
    </xdr:from>
    <xdr:to>
      <xdr:col>3</xdr:col>
      <xdr:colOff>169556</xdr:colOff>
      <xdr:row>192</xdr:row>
      <xdr:rowOff>191274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4ABCCF-7AB4-4121-B2F3-0BD30C8B9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50" y="42833925"/>
          <a:ext cx="121931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203</xdr:row>
      <xdr:rowOff>66675</xdr:rowOff>
    </xdr:from>
    <xdr:to>
      <xdr:col>3</xdr:col>
      <xdr:colOff>200799</xdr:colOff>
      <xdr:row>203</xdr:row>
      <xdr:rowOff>212992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860155C-A91B-4F83-9D2A-064267A48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0" y="46081950"/>
          <a:ext cx="134124" cy="14631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205</xdr:row>
      <xdr:rowOff>57150</xdr:rowOff>
    </xdr:from>
    <xdr:to>
      <xdr:col>3</xdr:col>
      <xdr:colOff>191274</xdr:colOff>
      <xdr:row>205</xdr:row>
      <xdr:rowOff>203467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9BC1D5D-B507-4833-B80B-FF238D858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33675" y="46548675"/>
          <a:ext cx="134124" cy="146317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194</xdr:row>
      <xdr:rowOff>47625</xdr:rowOff>
    </xdr:from>
    <xdr:to>
      <xdr:col>3</xdr:col>
      <xdr:colOff>179081</xdr:colOff>
      <xdr:row>194</xdr:row>
      <xdr:rowOff>181749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2CD498C-2CB6-4874-AE15-80276ACCD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3675" y="44977050"/>
          <a:ext cx="121931" cy="134124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188</xdr:row>
      <xdr:rowOff>47625</xdr:rowOff>
    </xdr:from>
    <xdr:to>
      <xdr:col>3</xdr:col>
      <xdr:colOff>179081</xdr:colOff>
      <xdr:row>188</xdr:row>
      <xdr:rowOff>181749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1644CD8-94E5-4116-93C0-A184A6886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3675" y="44729400"/>
          <a:ext cx="121931" cy="134124"/>
        </a:xfrm>
        <a:prstGeom prst="rect">
          <a:avLst/>
        </a:prstGeom>
      </xdr:spPr>
    </xdr:pic>
    <xdr:clientData/>
  </xdr:twoCellAnchor>
  <xdr:twoCellAnchor>
    <xdr:from>
      <xdr:col>3</xdr:col>
      <xdr:colOff>47624</xdr:colOff>
      <xdr:row>187</xdr:row>
      <xdr:rowOff>57150</xdr:rowOff>
    </xdr:from>
    <xdr:to>
      <xdr:col>3</xdr:col>
      <xdr:colOff>152399</xdr:colOff>
      <xdr:row>187</xdr:row>
      <xdr:rowOff>171450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1F7E09F7-B376-48E8-A06F-7F66B45AB339}"/>
            </a:ext>
          </a:extLst>
        </xdr:cNvPr>
        <xdr:cNvSpPr/>
      </xdr:nvSpPr>
      <xdr:spPr>
        <a:xfrm>
          <a:off x="2724149" y="44738925"/>
          <a:ext cx="104775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53975</xdr:colOff>
      <xdr:row>187</xdr:row>
      <xdr:rowOff>76200</xdr:rowOff>
    </xdr:from>
    <xdr:to>
      <xdr:col>3</xdr:col>
      <xdr:colOff>149225</xdr:colOff>
      <xdr:row>187</xdr:row>
      <xdr:rowOff>184150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2355AAA6-EBB4-497F-A03E-4337F9D8E2AD}"/>
            </a:ext>
          </a:extLst>
        </xdr:cNvPr>
        <xdr:cNvSpPr/>
      </xdr:nvSpPr>
      <xdr:spPr>
        <a:xfrm>
          <a:off x="2730500" y="44519850"/>
          <a:ext cx="95250" cy="107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53975</xdr:colOff>
      <xdr:row>187</xdr:row>
      <xdr:rowOff>76200</xdr:rowOff>
    </xdr:from>
    <xdr:to>
      <xdr:col>3</xdr:col>
      <xdr:colOff>149225</xdr:colOff>
      <xdr:row>187</xdr:row>
      <xdr:rowOff>184150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95C322C6-58EB-4F49-BD44-1123D30911CC}"/>
            </a:ext>
          </a:extLst>
        </xdr:cNvPr>
        <xdr:cNvSpPr/>
      </xdr:nvSpPr>
      <xdr:spPr>
        <a:xfrm>
          <a:off x="2730500" y="44519850"/>
          <a:ext cx="95250" cy="107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3</xdr:col>
      <xdr:colOff>47625</xdr:colOff>
      <xdr:row>206</xdr:row>
      <xdr:rowOff>47625</xdr:rowOff>
    </xdr:from>
    <xdr:to>
      <xdr:col>3</xdr:col>
      <xdr:colOff>181749</xdr:colOff>
      <xdr:row>206</xdr:row>
      <xdr:rowOff>193942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E3F7C28-00C2-46E0-9CFE-D770947A7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24150" y="49406175"/>
          <a:ext cx="134124" cy="146317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163</xdr:row>
      <xdr:rowOff>66675</xdr:rowOff>
    </xdr:from>
    <xdr:to>
      <xdr:col>3</xdr:col>
      <xdr:colOff>154564</xdr:colOff>
      <xdr:row>163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4372222-AF99-490F-B1C8-1C333872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40100250"/>
          <a:ext cx="106939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6</xdr:col>
      <xdr:colOff>809625</xdr:colOff>
      <xdr:row>20</xdr:row>
      <xdr:rowOff>190500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0099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6</xdr:col>
      <xdr:colOff>771525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7096125"/>
          <a:ext cx="838200" cy="838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16</xdr:row>
      <xdr:rowOff>152400</xdr:rowOff>
    </xdr:from>
    <xdr:to>
      <xdr:col>6</xdr:col>
      <xdr:colOff>703137</xdr:colOff>
      <xdr:row>20</xdr:row>
      <xdr:rowOff>114299</xdr:rowOff>
    </xdr:to>
    <xdr:pic>
      <xdr:nvPicPr>
        <xdr:cNvPr id="9" name="8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3467100"/>
          <a:ext cx="988887" cy="761999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7096125"/>
          <a:ext cx="838200" cy="838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7096125"/>
          <a:ext cx="838200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21</xdr:row>
      <xdr:rowOff>9525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35</xdr:row>
      <xdr:rowOff>104775</xdr:rowOff>
    </xdr:from>
    <xdr:to>
      <xdr:col>7</xdr:col>
      <xdr:colOff>0</xdr:colOff>
      <xdr:row>39</xdr:row>
      <xdr:rowOff>142875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21</xdr:row>
      <xdr:rowOff>0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190896</xdr:colOff>
      <xdr:row>0</xdr:row>
      <xdr:rowOff>114300</xdr:rowOff>
    </xdr:from>
    <xdr:to>
      <xdr:col>9</xdr:col>
      <xdr:colOff>457199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286896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35</xdr:row>
      <xdr:rowOff>104775</xdr:rowOff>
    </xdr:from>
    <xdr:to>
      <xdr:col>7</xdr:col>
      <xdr:colOff>0</xdr:colOff>
      <xdr:row>39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21</xdr:row>
      <xdr:rowOff>0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35</xdr:row>
      <xdr:rowOff>104775</xdr:rowOff>
    </xdr:from>
    <xdr:to>
      <xdr:col>7</xdr:col>
      <xdr:colOff>0</xdr:colOff>
      <xdr:row>39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21</xdr:row>
      <xdr:rowOff>0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35</xdr:row>
      <xdr:rowOff>104775</xdr:rowOff>
    </xdr:from>
    <xdr:to>
      <xdr:col>7</xdr:col>
      <xdr:colOff>0</xdr:colOff>
      <xdr:row>39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21</xdr:row>
      <xdr:rowOff>0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36</xdr:row>
      <xdr:rowOff>104775</xdr:rowOff>
    </xdr:from>
    <xdr:to>
      <xdr:col>7</xdr:col>
      <xdr:colOff>0</xdr:colOff>
      <xdr:row>40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3" name="2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5" name="4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219471</xdr:colOff>
      <xdr:row>0</xdr:row>
      <xdr:rowOff>76200</xdr:rowOff>
    </xdr:from>
    <xdr:to>
      <xdr:col>9</xdr:col>
      <xdr:colOff>485774</xdr:colOff>
      <xdr:row>2</xdr:row>
      <xdr:rowOff>142875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76200"/>
          <a:ext cx="1028303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180975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3209925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5991621" y="114300"/>
          <a:ext cx="9140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62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6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6" name="5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152400</xdr:rowOff>
    </xdr:from>
    <xdr:to>
      <xdr:col>7</xdr:col>
      <xdr:colOff>0</xdr:colOff>
      <xdr:row>20</xdr:row>
      <xdr:rowOff>200025</xdr:rowOff>
    </xdr:to>
    <xdr:pic>
      <xdr:nvPicPr>
        <xdr:cNvPr id="2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09925"/>
          <a:ext cx="114300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219471</xdr:colOff>
      <xdr:row>0</xdr:row>
      <xdr:rowOff>114300</xdr:rowOff>
    </xdr:from>
    <xdr:to>
      <xdr:col>9</xdr:col>
      <xdr:colOff>485774</xdr:colOff>
      <xdr:row>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92" t="46780" r="74322" b="36949"/>
        <a:stretch/>
      </xdr:blipFill>
      <xdr:spPr bwMode="auto">
        <a:xfrm>
          <a:off x="6315471" y="114300"/>
          <a:ext cx="1028303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34</xdr:row>
      <xdr:rowOff>104775</xdr:rowOff>
    </xdr:from>
    <xdr:to>
      <xdr:col>7</xdr:col>
      <xdr:colOff>0</xdr:colOff>
      <xdr:row>38</xdr:row>
      <xdr:rowOff>142875</xdr:rowOff>
    </xdr:to>
    <xdr:pic>
      <xdr:nvPicPr>
        <xdr:cNvPr id="4" name="3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7096125"/>
          <a:ext cx="11811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lcuvio.com/peso-tubo-metal" TargetMode="External"/><Relationship Id="rId1" Type="http://schemas.openxmlformats.org/officeDocument/2006/relationships/hyperlink" Target="http://www.bna.com.a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1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1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1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1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1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1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31"/>
  <sheetViews>
    <sheetView showGridLines="0" tabSelected="1" zoomScaleNormal="100" workbookViewId="0"/>
  </sheetViews>
  <sheetFormatPr baseColWidth="10" defaultRowHeight="18.75" x14ac:dyDescent="0.3"/>
  <cols>
    <col min="1" max="1" width="10.85546875" style="91" customWidth="1"/>
    <col min="2" max="2" width="26.85546875" style="91" bestFit="1" customWidth="1"/>
    <col min="3" max="3" width="2.42578125" style="3" customWidth="1"/>
    <col min="4" max="4" width="11.85546875" customWidth="1"/>
    <col min="5" max="5" width="9.5703125" customWidth="1"/>
    <col min="6" max="6" width="17.5703125" customWidth="1"/>
    <col min="7" max="7" width="10.140625" hidden="1" customWidth="1"/>
    <col min="8" max="8" width="11.85546875" hidden="1" customWidth="1"/>
    <col min="9" max="9" width="10.7109375" hidden="1" customWidth="1"/>
    <col min="10" max="10" width="13" customWidth="1"/>
    <col min="11" max="11" width="14" customWidth="1"/>
    <col min="12" max="12" width="17.5703125" customWidth="1"/>
    <col min="13" max="13" width="10.140625" hidden="1" customWidth="1"/>
    <col min="14" max="14" width="11.85546875" hidden="1" customWidth="1"/>
    <col min="15" max="15" width="10.7109375" hidden="1" customWidth="1"/>
    <col min="16" max="16" width="13.5703125" customWidth="1"/>
    <col min="17" max="18" width="12.85546875" customWidth="1"/>
  </cols>
  <sheetData>
    <row r="1" spans="1:19" x14ac:dyDescent="0.3">
      <c r="A1" s="232" t="s">
        <v>52</v>
      </c>
    </row>
    <row r="2" spans="1:19" x14ac:dyDescent="0.3">
      <c r="A2" s="100"/>
      <c r="D2" s="53"/>
    </row>
    <row r="4" spans="1:19" x14ac:dyDescent="0.3">
      <c r="A4" s="183"/>
      <c r="K4" s="180"/>
    </row>
    <row r="5" spans="1:19" ht="19.5" thickBot="1" x14ac:dyDescent="0.35">
      <c r="A5" s="183"/>
      <c r="F5" s="53"/>
    </row>
    <row r="6" spans="1:19" ht="19.5" thickBot="1" x14ac:dyDescent="0.35">
      <c r="A6" s="183"/>
      <c r="B6" s="6" t="s">
        <v>11</v>
      </c>
      <c r="C6" s="255">
        <v>1.2969999999999999</v>
      </c>
      <c r="D6" s="256"/>
      <c r="F6" s="28" t="s">
        <v>25</v>
      </c>
      <c r="J6" s="243" t="s">
        <v>29</v>
      </c>
      <c r="K6" s="244"/>
      <c r="L6" s="245"/>
    </row>
    <row r="7" spans="1:19" ht="19.5" thickBot="1" x14ac:dyDescent="0.35">
      <c r="A7" s="183"/>
      <c r="B7" s="93"/>
      <c r="C7" s="4"/>
      <c r="D7" s="53"/>
      <c r="L7" t="s">
        <v>52</v>
      </c>
      <c r="P7" t="s">
        <v>52</v>
      </c>
      <c r="Q7" t="s">
        <v>52</v>
      </c>
    </row>
    <row r="8" spans="1:19" ht="19.5" thickBot="1" x14ac:dyDescent="0.35">
      <c r="A8" s="183"/>
      <c r="B8" s="7" t="s">
        <v>12</v>
      </c>
      <c r="C8" s="255">
        <v>1.1399999999999999</v>
      </c>
      <c r="D8" s="256"/>
      <c r="F8" s="28" t="s">
        <v>26</v>
      </c>
      <c r="J8" s="29">
        <v>1498</v>
      </c>
      <c r="K8" s="32"/>
      <c r="L8" s="30"/>
    </row>
    <row r="9" spans="1:19" ht="22.5" thickBot="1" x14ac:dyDescent="0.35">
      <c r="A9" s="183"/>
      <c r="C9" s="3" t="s">
        <v>52</v>
      </c>
      <c r="D9" t="s">
        <v>52</v>
      </c>
      <c r="J9" s="219"/>
      <c r="K9" s="53"/>
      <c r="Q9" s="191" t="s">
        <v>52</v>
      </c>
      <c r="S9" s="191" t="s">
        <v>52</v>
      </c>
    </row>
    <row r="10" spans="1:19" ht="16.5" thickBot="1" x14ac:dyDescent="0.3">
      <c r="A10" s="183"/>
      <c r="B10" s="253" t="s">
        <v>13</v>
      </c>
      <c r="C10" s="254"/>
      <c r="D10" s="233">
        <v>45398</v>
      </c>
      <c r="E10" s="234"/>
      <c r="J10" s="241" t="s">
        <v>27</v>
      </c>
      <c r="K10" s="242"/>
      <c r="L10" s="31" t="s">
        <v>28</v>
      </c>
      <c r="Q10" s="53"/>
    </row>
    <row r="11" spans="1:19" ht="19.5" thickBot="1" x14ac:dyDescent="0.35">
      <c r="A11" s="183"/>
      <c r="E11" t="s">
        <v>52</v>
      </c>
      <c r="L11" s="246"/>
      <c r="M11" s="246"/>
      <c r="N11" s="246"/>
      <c r="O11" s="246"/>
      <c r="P11" s="246"/>
      <c r="Q11" s="33"/>
    </row>
    <row r="12" spans="1:19" ht="16.5" customHeight="1" thickBot="1" x14ac:dyDescent="0.35">
      <c r="A12" s="183"/>
      <c r="D12" s="259" t="s">
        <v>203</v>
      </c>
      <c r="E12" s="260"/>
      <c r="F12" s="247" t="s">
        <v>19</v>
      </c>
      <c r="G12" s="248"/>
      <c r="H12" s="248"/>
      <c r="I12" s="248"/>
      <c r="J12" s="248"/>
      <c r="K12" s="249"/>
      <c r="L12" s="250" t="s">
        <v>20</v>
      </c>
      <c r="M12" s="251"/>
      <c r="N12" s="251"/>
      <c r="O12" s="251"/>
      <c r="P12" s="251"/>
      <c r="Q12" s="252"/>
    </row>
    <row r="13" spans="1:19" ht="19.5" customHeight="1" thickBot="1" x14ac:dyDescent="0.35">
      <c r="A13" s="183"/>
      <c r="B13" s="94" t="s">
        <v>10</v>
      </c>
      <c r="C13" s="4"/>
      <c r="D13" s="261"/>
      <c r="E13" s="262"/>
      <c r="F13" s="115" t="s">
        <v>14</v>
      </c>
      <c r="G13" s="116" t="s">
        <v>16</v>
      </c>
      <c r="H13" s="116" t="s">
        <v>17</v>
      </c>
      <c r="I13" s="117" t="s">
        <v>18</v>
      </c>
      <c r="J13" s="120" t="s">
        <v>32</v>
      </c>
      <c r="K13" s="119" t="s">
        <v>33</v>
      </c>
      <c r="L13" s="186" t="s">
        <v>14</v>
      </c>
      <c r="M13" s="118" t="s">
        <v>16</v>
      </c>
      <c r="N13" s="118" t="s">
        <v>17</v>
      </c>
      <c r="O13" s="121" t="s">
        <v>18</v>
      </c>
      <c r="P13" s="123" t="s">
        <v>32</v>
      </c>
      <c r="Q13" s="122" t="s">
        <v>33</v>
      </c>
    </row>
    <row r="14" spans="1:19" x14ac:dyDescent="0.3">
      <c r="B14" s="95">
        <v>1</v>
      </c>
      <c r="C14" s="5"/>
      <c r="D14" s="235" t="s">
        <v>238</v>
      </c>
      <c r="E14" s="236"/>
      <c r="F14" s="110">
        <v>8</v>
      </c>
      <c r="G14" s="111">
        <v>0.01</v>
      </c>
      <c r="H14" s="111">
        <f>PRODUCT(F14,G14)</f>
        <v>0.08</v>
      </c>
      <c r="I14" s="111">
        <f>PRODUCT(H14,C6)</f>
        <v>0.10375999999999999</v>
      </c>
      <c r="J14" s="112">
        <f>SUM(C6,I14)</f>
        <v>1.40076</v>
      </c>
      <c r="K14" s="113">
        <f>PRODUCT(J8,J14)</f>
        <v>2098.3384799999999</v>
      </c>
      <c r="L14" s="110">
        <v>5</v>
      </c>
      <c r="M14" s="111">
        <v>0.01</v>
      </c>
      <c r="N14" s="111">
        <f>PRODUCT(L14,M14)</f>
        <v>0.05</v>
      </c>
      <c r="O14" s="111">
        <f>PRODUCT(N14,C8)</f>
        <v>5.6999999999999995E-2</v>
      </c>
      <c r="P14" s="112">
        <f>SUM(C8,O14)</f>
        <v>1.1969999999999998</v>
      </c>
      <c r="Q14" s="114">
        <f>PRODUCT(J8,P14)</f>
        <v>1793.1059999999998</v>
      </c>
    </row>
    <row r="15" spans="1:19" x14ac:dyDescent="0.3">
      <c r="B15" s="95">
        <v>2</v>
      </c>
      <c r="C15" s="5"/>
      <c r="D15" s="237" t="s">
        <v>235</v>
      </c>
      <c r="E15" s="238"/>
      <c r="F15" s="71">
        <v>8</v>
      </c>
      <c r="G15" s="12">
        <v>0.01</v>
      </c>
      <c r="H15" s="12">
        <f t="shared" ref="H15:H78" si="0">PRODUCT(F15,G15)</f>
        <v>0.08</v>
      </c>
      <c r="I15" s="12">
        <f>PRODUCT(H15,C6)</f>
        <v>0.10375999999999999</v>
      </c>
      <c r="J15" s="34">
        <f>SUM(C6,I15)</f>
        <v>1.40076</v>
      </c>
      <c r="K15" s="38">
        <f>PRODUCT(J8,J15)</f>
        <v>2098.3384799999999</v>
      </c>
      <c r="L15" s="71">
        <v>5</v>
      </c>
      <c r="M15" s="12">
        <v>0.01</v>
      </c>
      <c r="N15" s="12">
        <f t="shared" ref="N15:N78" si="1">PRODUCT(L15,M15)</f>
        <v>0.05</v>
      </c>
      <c r="O15" s="12">
        <f>PRODUCT(N15,C8)</f>
        <v>5.6999999999999995E-2</v>
      </c>
      <c r="P15" s="34">
        <f>SUM(C8,O15)</f>
        <v>1.1969999999999998</v>
      </c>
      <c r="Q15" s="36">
        <f>PRODUCT(J8,P15)</f>
        <v>1793.1059999999998</v>
      </c>
    </row>
    <row r="16" spans="1:19" x14ac:dyDescent="0.3">
      <c r="B16" s="95">
        <v>3</v>
      </c>
      <c r="C16" s="5"/>
      <c r="D16" s="237" t="s">
        <v>215</v>
      </c>
      <c r="E16" s="238"/>
      <c r="F16" s="71">
        <v>15</v>
      </c>
      <c r="G16" s="12">
        <v>0.01</v>
      </c>
      <c r="H16" s="12">
        <f t="shared" si="0"/>
        <v>0.15</v>
      </c>
      <c r="I16" s="12">
        <f>PRODUCT(H16,C6)</f>
        <v>0.19454999999999997</v>
      </c>
      <c r="J16" s="34">
        <f>SUM(C6,I16)</f>
        <v>1.4915499999999999</v>
      </c>
      <c r="K16" s="38">
        <f>PRODUCT(J8,J16)</f>
        <v>2234.3418999999999</v>
      </c>
      <c r="L16" s="71">
        <v>10</v>
      </c>
      <c r="M16" s="12">
        <v>0.01</v>
      </c>
      <c r="N16" s="12">
        <f t="shared" si="1"/>
        <v>0.1</v>
      </c>
      <c r="O16" s="12">
        <f>PRODUCT(N16,C8)</f>
        <v>0.11399999999999999</v>
      </c>
      <c r="P16" s="34">
        <f>SUM(C8,O16)</f>
        <v>1.254</v>
      </c>
      <c r="Q16" s="36">
        <f>PRODUCT(J8,P16)</f>
        <v>1878.492</v>
      </c>
    </row>
    <row r="17" spans="2:17" x14ac:dyDescent="0.3">
      <c r="B17" s="95">
        <v>4</v>
      </c>
      <c r="C17" s="5"/>
      <c r="D17" s="237" t="s">
        <v>164</v>
      </c>
      <c r="E17" s="238"/>
      <c r="F17" s="71">
        <v>12</v>
      </c>
      <c r="G17" s="12">
        <v>0.01</v>
      </c>
      <c r="H17" s="12">
        <f t="shared" si="0"/>
        <v>0.12</v>
      </c>
      <c r="I17" s="12">
        <f>PRODUCT(H17,C6)</f>
        <v>0.15563999999999997</v>
      </c>
      <c r="J17" s="34">
        <f>SUM(C6,I17)</f>
        <v>1.4526399999999999</v>
      </c>
      <c r="K17" s="38">
        <f>PRODUCT(J8,J17)</f>
        <v>2176.0547200000001</v>
      </c>
      <c r="L17" s="71">
        <v>7</v>
      </c>
      <c r="M17" s="12">
        <v>0.01</v>
      </c>
      <c r="N17" s="12">
        <f t="shared" si="1"/>
        <v>7.0000000000000007E-2</v>
      </c>
      <c r="O17" s="12">
        <f>PRODUCT(N17,C8)</f>
        <v>7.9799999999999996E-2</v>
      </c>
      <c r="P17" s="34">
        <f>SUM(C8,O17)</f>
        <v>1.2198</v>
      </c>
      <c r="Q17" s="36">
        <f>PRODUCT(J8,P17)</f>
        <v>1827.2603999999999</v>
      </c>
    </row>
    <row r="18" spans="2:17" x14ac:dyDescent="0.3">
      <c r="B18" s="95">
        <v>5</v>
      </c>
      <c r="C18" s="5"/>
      <c r="D18" s="237" t="s">
        <v>269</v>
      </c>
      <c r="E18" s="238"/>
      <c r="F18" s="71">
        <v>7</v>
      </c>
      <c r="G18" s="12">
        <v>0.01</v>
      </c>
      <c r="H18" s="12">
        <f t="shared" si="0"/>
        <v>7.0000000000000007E-2</v>
      </c>
      <c r="I18" s="12">
        <f>PRODUCT(H18,C6)</f>
        <v>9.079000000000001E-2</v>
      </c>
      <c r="J18" s="34">
        <f>SUM(C6,I18)</f>
        <v>1.3877899999999999</v>
      </c>
      <c r="K18" s="38">
        <f>PRODUCT(J8,J18)</f>
        <v>2078.90942</v>
      </c>
      <c r="L18" s="71">
        <v>5</v>
      </c>
      <c r="M18" s="12">
        <v>0.01</v>
      </c>
      <c r="N18" s="12">
        <f t="shared" si="1"/>
        <v>0.05</v>
      </c>
      <c r="O18" s="12">
        <f>PRODUCT(N18,C8)</f>
        <v>5.6999999999999995E-2</v>
      </c>
      <c r="P18" s="34">
        <f>SUM(C8,O18)</f>
        <v>1.1969999999999998</v>
      </c>
      <c r="Q18" s="36">
        <f>PRODUCT(J8,P18)</f>
        <v>1793.1059999999998</v>
      </c>
    </row>
    <row r="19" spans="2:17" x14ac:dyDescent="0.3">
      <c r="B19" s="95">
        <v>6</v>
      </c>
      <c r="C19" s="5"/>
      <c r="D19" s="237" t="s">
        <v>273</v>
      </c>
      <c r="E19" s="238"/>
      <c r="F19" s="71">
        <v>6</v>
      </c>
      <c r="G19" s="12">
        <v>0.01</v>
      </c>
      <c r="H19" s="12">
        <f t="shared" si="0"/>
        <v>0.06</v>
      </c>
      <c r="I19" s="12">
        <f>PRODUCT(H19,C6)</f>
        <v>7.7819999999999986E-2</v>
      </c>
      <c r="J19" s="34">
        <f>SUM(C6,I19)</f>
        <v>1.3748199999999999</v>
      </c>
      <c r="K19" s="38">
        <f>PRODUCT(J8,J19)</f>
        <v>2059.48036</v>
      </c>
      <c r="L19" s="71">
        <v>1</v>
      </c>
      <c r="M19" s="12">
        <v>0.01</v>
      </c>
      <c r="N19" s="12">
        <f t="shared" si="1"/>
        <v>0.01</v>
      </c>
      <c r="O19" s="12">
        <f>PRODUCT(N19,C8)</f>
        <v>1.1399999999999999E-2</v>
      </c>
      <c r="P19" s="34">
        <f>SUM(C8,O19)</f>
        <v>1.1514</v>
      </c>
      <c r="Q19" s="36">
        <f>PRODUCT(J8,P19)</f>
        <v>1724.7972</v>
      </c>
    </row>
    <row r="20" spans="2:17" x14ac:dyDescent="0.3">
      <c r="B20" s="95">
        <v>7</v>
      </c>
      <c r="C20" s="5"/>
      <c r="D20" s="237" t="s">
        <v>102</v>
      </c>
      <c r="E20" s="238"/>
      <c r="F20" s="71">
        <v>13</v>
      </c>
      <c r="G20" s="12">
        <v>0.01</v>
      </c>
      <c r="H20" s="12">
        <f t="shared" si="0"/>
        <v>0.13</v>
      </c>
      <c r="I20" s="12">
        <f>PRODUCT(H20,C6)</f>
        <v>0.16861000000000001</v>
      </c>
      <c r="J20" s="34">
        <f>SUM(C6,I20)</f>
        <v>1.4656099999999999</v>
      </c>
      <c r="K20" s="38">
        <f>PRODUCT(J8,J20)</f>
        <v>2195.4837799999996</v>
      </c>
      <c r="L20" s="71">
        <v>9</v>
      </c>
      <c r="M20" s="12">
        <v>0.01</v>
      </c>
      <c r="N20" s="12">
        <f t="shared" si="1"/>
        <v>0.09</v>
      </c>
      <c r="O20" s="12">
        <f>PRODUCT(N20,C8)</f>
        <v>0.10259999999999998</v>
      </c>
      <c r="P20" s="34">
        <f>SUM(C8,O20)</f>
        <v>1.2425999999999999</v>
      </c>
      <c r="Q20" s="36">
        <f>PRODUCT(J8,P20)</f>
        <v>1861.4147999999998</v>
      </c>
    </row>
    <row r="21" spans="2:17" x14ac:dyDescent="0.3">
      <c r="B21" s="95">
        <v>8</v>
      </c>
      <c r="C21" s="5"/>
      <c r="D21" s="237" t="s">
        <v>126</v>
      </c>
      <c r="E21" s="238"/>
      <c r="F21" s="71">
        <v>12</v>
      </c>
      <c r="G21" s="12">
        <v>0.01</v>
      </c>
      <c r="H21" s="12">
        <f t="shared" si="0"/>
        <v>0.12</v>
      </c>
      <c r="I21" s="12">
        <f>PRODUCT(H21,C6)</f>
        <v>0.15563999999999997</v>
      </c>
      <c r="J21" s="34">
        <f>SUM(C6,I21)</f>
        <v>1.4526399999999999</v>
      </c>
      <c r="K21" s="38">
        <f>PRODUCT(J8,J21)</f>
        <v>2176.0547200000001</v>
      </c>
      <c r="L21" s="71">
        <v>9</v>
      </c>
      <c r="M21" s="12">
        <v>0.01</v>
      </c>
      <c r="N21" s="12">
        <f t="shared" si="1"/>
        <v>0.09</v>
      </c>
      <c r="O21" s="12">
        <f>PRODUCT(N21,C8)</f>
        <v>0.10259999999999998</v>
      </c>
      <c r="P21" s="34">
        <f>SUM(C8,O21)</f>
        <v>1.2425999999999999</v>
      </c>
      <c r="Q21" s="36">
        <f>PRODUCT(J8,P21)</f>
        <v>1861.4147999999998</v>
      </c>
    </row>
    <row r="22" spans="2:17" x14ac:dyDescent="0.3">
      <c r="B22" s="95">
        <v>9</v>
      </c>
      <c r="C22" s="5"/>
      <c r="D22" s="237" t="s">
        <v>227</v>
      </c>
      <c r="E22" s="238"/>
      <c r="F22" s="71">
        <v>12</v>
      </c>
      <c r="G22" s="12">
        <v>0.01</v>
      </c>
      <c r="H22" s="12">
        <f t="shared" si="0"/>
        <v>0.12</v>
      </c>
      <c r="I22" s="12">
        <f>PRODUCT(H22,C6)</f>
        <v>0.15563999999999997</v>
      </c>
      <c r="J22" s="34">
        <f>SUM(C6,I22)</f>
        <v>1.4526399999999999</v>
      </c>
      <c r="K22" s="38">
        <f>PRODUCT(J8,J22)</f>
        <v>2176.0547200000001</v>
      </c>
      <c r="L22" s="71">
        <v>8</v>
      </c>
      <c r="M22" s="12">
        <v>0.01</v>
      </c>
      <c r="N22" s="12">
        <f t="shared" si="1"/>
        <v>0.08</v>
      </c>
      <c r="O22" s="12">
        <f>PRODUCT(N22,C8)</f>
        <v>9.1199999999999989E-2</v>
      </c>
      <c r="P22" s="34">
        <f>SUM(C8,O22)</f>
        <v>1.2311999999999999</v>
      </c>
      <c r="Q22" s="36">
        <f>PRODUCT(J8,P22)</f>
        <v>1844.3375999999998</v>
      </c>
    </row>
    <row r="23" spans="2:17" x14ac:dyDescent="0.3">
      <c r="B23" s="95">
        <v>10</v>
      </c>
      <c r="C23" s="5"/>
      <c r="D23" s="237" t="s">
        <v>86</v>
      </c>
      <c r="E23" s="238"/>
      <c r="F23" s="71">
        <v>12</v>
      </c>
      <c r="G23" s="12">
        <v>0.01</v>
      </c>
      <c r="H23" s="12">
        <f t="shared" si="0"/>
        <v>0.12</v>
      </c>
      <c r="I23" s="12">
        <f>PRODUCT(H23,C6)</f>
        <v>0.15563999999999997</v>
      </c>
      <c r="J23" s="34">
        <f>SUM(C6,I23)</f>
        <v>1.4526399999999999</v>
      </c>
      <c r="K23" s="38">
        <f>PRODUCT(J8,J23)</f>
        <v>2176.0547200000001</v>
      </c>
      <c r="L23" s="71">
        <v>9</v>
      </c>
      <c r="M23" s="12">
        <v>0.01</v>
      </c>
      <c r="N23" s="12">
        <f t="shared" si="1"/>
        <v>0.09</v>
      </c>
      <c r="O23" s="12">
        <f>PRODUCT(N23,C8)</f>
        <v>0.10259999999999998</v>
      </c>
      <c r="P23" s="34">
        <f>SUM(C8,O23)</f>
        <v>1.2425999999999999</v>
      </c>
      <c r="Q23" s="36">
        <f>PRODUCT(J8,P23)</f>
        <v>1861.4147999999998</v>
      </c>
    </row>
    <row r="24" spans="2:17" x14ac:dyDescent="0.3">
      <c r="B24" s="95">
        <v>11</v>
      </c>
      <c r="C24" s="5"/>
      <c r="D24" s="237" t="s">
        <v>337</v>
      </c>
      <c r="E24" s="238"/>
      <c r="F24" s="71">
        <v>7</v>
      </c>
      <c r="G24" s="12">
        <v>0.01</v>
      </c>
      <c r="H24" s="12">
        <f t="shared" si="0"/>
        <v>7.0000000000000007E-2</v>
      </c>
      <c r="I24" s="12">
        <f>PRODUCT(H24,C6)</f>
        <v>9.079000000000001E-2</v>
      </c>
      <c r="J24" s="34">
        <f>SUM(C6,I24)</f>
        <v>1.3877899999999999</v>
      </c>
      <c r="K24" s="38">
        <f>PRODUCT(J8,J24)</f>
        <v>2078.90942</v>
      </c>
      <c r="L24" s="71">
        <v>5</v>
      </c>
      <c r="M24" s="12">
        <v>0.01</v>
      </c>
      <c r="N24" s="12">
        <f t="shared" si="1"/>
        <v>0.05</v>
      </c>
      <c r="O24" s="12">
        <f>PRODUCT(N24,C8)</f>
        <v>5.6999999999999995E-2</v>
      </c>
      <c r="P24" s="34">
        <f>SUM(C8,O24)</f>
        <v>1.1969999999999998</v>
      </c>
      <c r="Q24" s="36">
        <f>PRODUCT(J8,P24)</f>
        <v>1793.1059999999998</v>
      </c>
    </row>
    <row r="25" spans="2:17" x14ac:dyDescent="0.3">
      <c r="B25" s="95">
        <v>12</v>
      </c>
      <c r="C25" s="5"/>
      <c r="D25" s="237" t="s">
        <v>266</v>
      </c>
      <c r="E25" s="238"/>
      <c r="F25" s="71">
        <v>6</v>
      </c>
      <c r="G25" s="12">
        <v>0.01</v>
      </c>
      <c r="H25" s="12">
        <f t="shared" si="0"/>
        <v>0.06</v>
      </c>
      <c r="I25" s="12">
        <f>PRODUCT(H25,C6)</f>
        <v>7.7819999999999986E-2</v>
      </c>
      <c r="J25" s="34">
        <f>SUM(C6,I25)</f>
        <v>1.3748199999999999</v>
      </c>
      <c r="K25" s="38">
        <f>PRODUCT(J8,J25)</f>
        <v>2059.48036</v>
      </c>
      <c r="L25" s="71">
        <v>1</v>
      </c>
      <c r="M25" s="12">
        <v>0.01</v>
      </c>
      <c r="N25" s="12">
        <f t="shared" si="1"/>
        <v>0.01</v>
      </c>
      <c r="O25" s="12">
        <f>PRODUCT(N25,C8)</f>
        <v>1.1399999999999999E-2</v>
      </c>
      <c r="P25" s="34">
        <f>SUM(C8,O25)</f>
        <v>1.1514</v>
      </c>
      <c r="Q25" s="36">
        <f>PRODUCT(J8,P25)</f>
        <v>1724.7972</v>
      </c>
    </row>
    <row r="26" spans="2:17" x14ac:dyDescent="0.3">
      <c r="B26" s="95">
        <v>13</v>
      </c>
      <c r="C26" s="5"/>
      <c r="D26" s="237" t="s">
        <v>321</v>
      </c>
      <c r="E26" s="238"/>
      <c r="F26" s="71">
        <v>8</v>
      </c>
      <c r="G26" s="12">
        <v>0.01</v>
      </c>
      <c r="H26" s="12">
        <f t="shared" si="0"/>
        <v>0.08</v>
      </c>
      <c r="I26" s="12">
        <f>PRODUCT(H26,C6)</f>
        <v>0.10375999999999999</v>
      </c>
      <c r="J26" s="34">
        <f>SUM(C6,I26)</f>
        <v>1.40076</v>
      </c>
      <c r="K26" s="38">
        <f>PRODUCT(J8,J26)</f>
        <v>2098.3384799999999</v>
      </c>
      <c r="L26" s="71">
        <v>5</v>
      </c>
      <c r="M26" s="12">
        <v>0.01</v>
      </c>
      <c r="N26" s="12">
        <f t="shared" si="1"/>
        <v>0.05</v>
      </c>
      <c r="O26" s="12">
        <f>PRODUCT(N26,C8)</f>
        <v>5.6999999999999995E-2</v>
      </c>
      <c r="P26" s="34">
        <f>SUM(C8,O26)</f>
        <v>1.1969999999999998</v>
      </c>
      <c r="Q26" s="36">
        <f>PRODUCT(J8,P26)</f>
        <v>1793.1059999999998</v>
      </c>
    </row>
    <row r="27" spans="2:17" x14ac:dyDescent="0.3">
      <c r="B27" s="95">
        <v>14</v>
      </c>
      <c r="C27" s="5"/>
      <c r="D27" s="237" t="s">
        <v>211</v>
      </c>
      <c r="E27" s="238"/>
      <c r="F27" s="71">
        <v>24</v>
      </c>
      <c r="G27" s="12">
        <v>0.01</v>
      </c>
      <c r="H27" s="12">
        <f t="shared" si="0"/>
        <v>0.24</v>
      </c>
      <c r="I27" s="12">
        <f>PRODUCT(H27,C6)</f>
        <v>0.31127999999999995</v>
      </c>
      <c r="J27" s="34">
        <f>SUM(C6,I27)</f>
        <v>1.6082799999999999</v>
      </c>
      <c r="K27" s="38">
        <f>PRODUCT(J8,J27)</f>
        <v>2409.2034399999998</v>
      </c>
      <c r="L27" s="71">
        <v>20</v>
      </c>
      <c r="M27" s="12">
        <v>0.01</v>
      </c>
      <c r="N27" s="12">
        <f t="shared" si="1"/>
        <v>0.2</v>
      </c>
      <c r="O27" s="12">
        <f>PRODUCT(N27,C8)</f>
        <v>0.22799999999999998</v>
      </c>
      <c r="P27" s="34">
        <f>SUM(C8,O27)</f>
        <v>1.3679999999999999</v>
      </c>
      <c r="Q27" s="36">
        <f>PRODUCT(J8,P27)</f>
        <v>2049.2639999999997</v>
      </c>
    </row>
    <row r="28" spans="2:17" x14ac:dyDescent="0.3">
      <c r="B28" s="95">
        <v>15</v>
      </c>
      <c r="C28" s="5"/>
      <c r="D28" s="237" t="s">
        <v>61</v>
      </c>
      <c r="E28" s="238"/>
      <c r="F28" s="71">
        <v>24</v>
      </c>
      <c r="G28" s="12">
        <v>0.01</v>
      </c>
      <c r="H28" s="12">
        <f t="shared" si="0"/>
        <v>0.24</v>
      </c>
      <c r="I28" s="12">
        <f>PRODUCT(H28,C6)</f>
        <v>0.31127999999999995</v>
      </c>
      <c r="J28" s="34">
        <f>SUM(C6,I28)</f>
        <v>1.6082799999999999</v>
      </c>
      <c r="K28" s="38">
        <f>PRODUCT(J8,J28)</f>
        <v>2409.2034399999998</v>
      </c>
      <c r="L28" s="71">
        <v>20</v>
      </c>
      <c r="M28" s="12">
        <v>0.01</v>
      </c>
      <c r="N28" s="12">
        <f t="shared" si="1"/>
        <v>0.2</v>
      </c>
      <c r="O28" s="12">
        <f>PRODUCT(N28,C8)</f>
        <v>0.22799999999999998</v>
      </c>
      <c r="P28" s="34">
        <f>SUM(C8,O28)</f>
        <v>1.3679999999999999</v>
      </c>
      <c r="Q28" s="36">
        <f>PRODUCT(J8,P28)</f>
        <v>2049.2639999999997</v>
      </c>
    </row>
    <row r="29" spans="2:17" x14ac:dyDescent="0.3">
      <c r="B29" s="95">
        <v>16</v>
      </c>
      <c r="C29" s="5"/>
      <c r="D29" s="237" t="s">
        <v>223</v>
      </c>
      <c r="E29" s="238"/>
      <c r="F29" s="71">
        <v>6</v>
      </c>
      <c r="G29" s="12">
        <v>0.01</v>
      </c>
      <c r="H29" s="12">
        <f t="shared" si="0"/>
        <v>0.06</v>
      </c>
      <c r="I29" s="12">
        <f>PRODUCT(H29,C6)</f>
        <v>7.7819999999999986E-2</v>
      </c>
      <c r="J29" s="34">
        <f>SUM(C6,I29)</f>
        <v>1.3748199999999999</v>
      </c>
      <c r="K29" s="38">
        <f>PRODUCT(J8,J29)</f>
        <v>2059.48036</v>
      </c>
      <c r="L29" s="71">
        <v>1</v>
      </c>
      <c r="M29" s="12">
        <v>0.01</v>
      </c>
      <c r="N29" s="12">
        <f t="shared" si="1"/>
        <v>0.01</v>
      </c>
      <c r="O29" s="12">
        <f>PRODUCT(N29,C8)</f>
        <v>1.1399999999999999E-2</v>
      </c>
      <c r="P29" s="34">
        <f>SUM(C8,O29)</f>
        <v>1.1514</v>
      </c>
      <c r="Q29" s="36">
        <f>PRODUCT(J8,P29)</f>
        <v>1724.7972</v>
      </c>
    </row>
    <row r="30" spans="2:17" x14ac:dyDescent="0.3">
      <c r="B30" s="95">
        <v>17</v>
      </c>
      <c r="C30" s="5"/>
      <c r="D30" s="237" t="s">
        <v>94</v>
      </c>
      <c r="E30" s="238"/>
      <c r="F30" s="71">
        <v>10</v>
      </c>
      <c r="G30" s="12">
        <v>0.01</v>
      </c>
      <c r="H30" s="12">
        <f t="shared" si="0"/>
        <v>0.1</v>
      </c>
      <c r="I30" s="12">
        <f>PRODUCT(H30,C6)</f>
        <v>0.12970000000000001</v>
      </c>
      <c r="J30" s="34">
        <f>SUM(C6,I30)</f>
        <v>1.4266999999999999</v>
      </c>
      <c r="K30" s="38">
        <f>PRODUCT(J8,J30)</f>
        <v>2137.1965999999998</v>
      </c>
      <c r="L30" s="71">
        <v>8</v>
      </c>
      <c r="M30" s="12">
        <v>0.01</v>
      </c>
      <c r="N30" s="12">
        <f t="shared" si="1"/>
        <v>0.08</v>
      </c>
      <c r="O30" s="12">
        <f>PRODUCT(N30,C8)</f>
        <v>9.1199999999999989E-2</v>
      </c>
      <c r="P30" s="34">
        <f>SUM(C8,O30)</f>
        <v>1.2311999999999999</v>
      </c>
      <c r="Q30" s="36">
        <f>PRODUCT(J8,P30)</f>
        <v>1844.3375999999998</v>
      </c>
    </row>
    <row r="31" spans="2:17" x14ac:dyDescent="0.3">
      <c r="B31" s="95">
        <v>18</v>
      </c>
      <c r="C31" s="5"/>
      <c r="D31" s="237" t="s">
        <v>106</v>
      </c>
      <c r="E31" s="238"/>
      <c r="F31" s="71">
        <v>10</v>
      </c>
      <c r="G31" s="12">
        <v>0.01</v>
      </c>
      <c r="H31" s="12">
        <f t="shared" si="0"/>
        <v>0.1</v>
      </c>
      <c r="I31" s="12">
        <f>PRODUCT(H31,C6)</f>
        <v>0.12970000000000001</v>
      </c>
      <c r="J31" s="34">
        <f>SUM(C6,I31)</f>
        <v>1.4266999999999999</v>
      </c>
      <c r="K31" s="38">
        <f>PRODUCT(J8,J31)</f>
        <v>2137.1965999999998</v>
      </c>
      <c r="L31" s="71">
        <v>8</v>
      </c>
      <c r="M31" s="12">
        <v>0.01</v>
      </c>
      <c r="N31" s="12">
        <f t="shared" si="1"/>
        <v>0.08</v>
      </c>
      <c r="O31" s="12">
        <f>PRODUCT(N31,C8)</f>
        <v>9.1199999999999989E-2</v>
      </c>
      <c r="P31" s="34">
        <f>SUM(C8,O31)</f>
        <v>1.2311999999999999</v>
      </c>
      <c r="Q31" s="36">
        <f>PRODUCT(J8,P31)</f>
        <v>1844.3375999999998</v>
      </c>
    </row>
    <row r="32" spans="2:17" x14ac:dyDescent="0.3">
      <c r="B32" s="95">
        <v>19</v>
      </c>
      <c r="C32" s="5"/>
      <c r="D32" s="237" t="s">
        <v>159</v>
      </c>
      <c r="E32" s="238"/>
      <c r="F32" s="71">
        <v>8</v>
      </c>
      <c r="G32" s="12">
        <v>0.01</v>
      </c>
      <c r="H32" s="12">
        <f t="shared" si="0"/>
        <v>0.08</v>
      </c>
      <c r="I32" s="12">
        <f>PRODUCT(H32,C6)</f>
        <v>0.10375999999999999</v>
      </c>
      <c r="J32" s="34">
        <f>SUM(C6,I32)</f>
        <v>1.40076</v>
      </c>
      <c r="K32" s="38">
        <f>PRODUCT(J8,J32)</f>
        <v>2098.3384799999999</v>
      </c>
      <c r="L32" s="71">
        <v>4</v>
      </c>
      <c r="M32" s="12">
        <v>0.01</v>
      </c>
      <c r="N32" s="12">
        <f t="shared" si="1"/>
        <v>0.04</v>
      </c>
      <c r="O32" s="12">
        <f>PRODUCT(N32,C8)</f>
        <v>4.5599999999999995E-2</v>
      </c>
      <c r="P32" s="34">
        <f>SUM(C8,O32)</f>
        <v>1.1856</v>
      </c>
      <c r="Q32" s="36">
        <f>PRODUCT(J8,P32)</f>
        <v>1776.0288</v>
      </c>
    </row>
    <row r="33" spans="2:17" x14ac:dyDescent="0.3">
      <c r="B33" s="95">
        <v>20</v>
      </c>
      <c r="C33" s="5"/>
      <c r="D33" s="237" t="s">
        <v>155</v>
      </c>
      <c r="E33" s="238"/>
      <c r="F33" s="71">
        <v>12</v>
      </c>
      <c r="G33" s="12">
        <v>0.01</v>
      </c>
      <c r="H33" s="12">
        <f t="shared" si="0"/>
        <v>0.12</v>
      </c>
      <c r="I33" s="12">
        <f>PRODUCT(H33,C6)</f>
        <v>0.15563999999999997</v>
      </c>
      <c r="J33" s="34">
        <f>SUM(C6,I33)</f>
        <v>1.4526399999999999</v>
      </c>
      <c r="K33" s="38">
        <f>PRODUCT(J8,J33)</f>
        <v>2176.0547200000001</v>
      </c>
      <c r="L33" s="71">
        <v>9</v>
      </c>
      <c r="M33" s="12">
        <v>0.01</v>
      </c>
      <c r="N33" s="12">
        <f t="shared" si="1"/>
        <v>0.09</v>
      </c>
      <c r="O33" s="12">
        <f>PRODUCT(N33,C8)</f>
        <v>0.10259999999999998</v>
      </c>
      <c r="P33" s="34">
        <f>SUM(C8,O33)</f>
        <v>1.2425999999999999</v>
      </c>
      <c r="Q33" s="36">
        <f>PRODUCT(J8,P33)</f>
        <v>1861.4147999999998</v>
      </c>
    </row>
    <row r="34" spans="2:17" x14ac:dyDescent="0.3">
      <c r="B34" s="95">
        <v>21</v>
      </c>
      <c r="C34" s="5"/>
      <c r="D34" s="237" t="s">
        <v>65</v>
      </c>
      <c r="E34" s="238"/>
      <c r="F34" s="71">
        <v>12</v>
      </c>
      <c r="G34" s="12">
        <v>0.01</v>
      </c>
      <c r="H34" s="12">
        <f t="shared" si="0"/>
        <v>0.12</v>
      </c>
      <c r="I34" s="12">
        <f>PRODUCT(H34,C6)</f>
        <v>0.15563999999999997</v>
      </c>
      <c r="J34" s="34">
        <f>SUM(C6,I34)</f>
        <v>1.4526399999999999</v>
      </c>
      <c r="K34" s="38">
        <f>PRODUCT(J8,J34)</f>
        <v>2176.0547200000001</v>
      </c>
      <c r="L34" s="71">
        <v>9</v>
      </c>
      <c r="M34" s="12">
        <v>0.01</v>
      </c>
      <c r="N34" s="12">
        <f t="shared" si="1"/>
        <v>0.09</v>
      </c>
      <c r="O34" s="12">
        <f>PRODUCT(N34,C8)</f>
        <v>0.10259999999999998</v>
      </c>
      <c r="P34" s="34">
        <f>SUM(C8,O34)</f>
        <v>1.2425999999999999</v>
      </c>
      <c r="Q34" s="36">
        <f>PRODUCT(J8,P34)</f>
        <v>1861.4147999999998</v>
      </c>
    </row>
    <row r="35" spans="2:17" x14ac:dyDescent="0.3">
      <c r="B35" s="95">
        <v>22</v>
      </c>
      <c r="C35" s="5"/>
      <c r="D35" s="237" t="s">
        <v>194</v>
      </c>
      <c r="E35" s="238"/>
      <c r="F35" s="71">
        <v>21</v>
      </c>
      <c r="G35" s="12">
        <v>0.01</v>
      </c>
      <c r="H35" s="12">
        <f t="shared" si="0"/>
        <v>0.21</v>
      </c>
      <c r="I35" s="12">
        <f>PRODUCT(H35,C6)</f>
        <v>0.27237</v>
      </c>
      <c r="J35" s="34">
        <f>SUM(C6,I35)</f>
        <v>1.5693699999999999</v>
      </c>
      <c r="K35" s="38">
        <f>PRODUCT(J8,J35)</f>
        <v>2350.91626</v>
      </c>
      <c r="L35" s="71">
        <v>18</v>
      </c>
      <c r="M35" s="12">
        <v>0.01</v>
      </c>
      <c r="N35" s="12">
        <f t="shared" si="1"/>
        <v>0.18</v>
      </c>
      <c r="O35" s="12">
        <f>PRODUCT(N35,C8)</f>
        <v>0.20519999999999997</v>
      </c>
      <c r="P35" s="34">
        <f>SUM(C8,O35)</f>
        <v>1.3452</v>
      </c>
      <c r="Q35" s="36">
        <f>PRODUCT(J8,P35)</f>
        <v>2015.1096</v>
      </c>
    </row>
    <row r="36" spans="2:17" x14ac:dyDescent="0.3">
      <c r="B36" s="95">
        <v>23</v>
      </c>
      <c r="C36" s="5"/>
      <c r="D36" s="239" t="s">
        <v>176</v>
      </c>
      <c r="E36" s="240"/>
      <c r="F36" s="71">
        <v>8</v>
      </c>
      <c r="G36" s="12">
        <v>0.01</v>
      </c>
      <c r="H36" s="12">
        <f t="shared" si="0"/>
        <v>0.08</v>
      </c>
      <c r="I36" s="12">
        <f>PRODUCT(H36,C6)</f>
        <v>0.10375999999999999</v>
      </c>
      <c r="J36" s="34">
        <f>SUM(C6,I36)</f>
        <v>1.40076</v>
      </c>
      <c r="K36" s="38">
        <f>PRODUCT(J8,J36)</f>
        <v>2098.3384799999999</v>
      </c>
      <c r="L36" s="71">
        <v>5</v>
      </c>
      <c r="M36" s="12">
        <v>0.01</v>
      </c>
      <c r="N36" s="12">
        <f t="shared" si="1"/>
        <v>0.05</v>
      </c>
      <c r="O36" s="12">
        <f>PRODUCT(N36,C8)</f>
        <v>5.6999999999999995E-2</v>
      </c>
      <c r="P36" s="34">
        <f>SUM(C8,O36)</f>
        <v>1.1969999999999998</v>
      </c>
      <c r="Q36" s="36">
        <f>PRODUCT(J8,P36)</f>
        <v>1793.1059999999998</v>
      </c>
    </row>
    <row r="37" spans="2:17" x14ac:dyDescent="0.3">
      <c r="B37" s="95">
        <v>24</v>
      </c>
      <c r="C37" s="5"/>
      <c r="D37" s="237" t="s">
        <v>271</v>
      </c>
      <c r="E37" s="238"/>
      <c r="F37" s="71">
        <v>6</v>
      </c>
      <c r="G37" s="12">
        <v>0.01</v>
      </c>
      <c r="H37" s="12">
        <f t="shared" si="0"/>
        <v>0.06</v>
      </c>
      <c r="I37" s="12">
        <f>PRODUCT(H37,C6)</f>
        <v>7.7819999999999986E-2</v>
      </c>
      <c r="J37" s="34">
        <f>SUM(C6,I37)</f>
        <v>1.3748199999999999</v>
      </c>
      <c r="K37" s="38">
        <f>PRODUCT(J8,J37)</f>
        <v>2059.48036</v>
      </c>
      <c r="L37" s="71">
        <v>1</v>
      </c>
      <c r="M37" s="12">
        <v>0.01</v>
      </c>
      <c r="N37" s="12">
        <f t="shared" si="1"/>
        <v>0.01</v>
      </c>
      <c r="O37" s="12">
        <f>PRODUCT(N37,C8)</f>
        <v>1.1399999999999999E-2</v>
      </c>
      <c r="P37" s="34">
        <f>SUM(C8,O37)</f>
        <v>1.1514</v>
      </c>
      <c r="Q37" s="36">
        <f>PRODUCT(J8,P37)</f>
        <v>1724.7972</v>
      </c>
    </row>
    <row r="38" spans="2:17" x14ac:dyDescent="0.3">
      <c r="B38" s="95">
        <v>25</v>
      </c>
      <c r="C38" s="5"/>
      <c r="D38" s="237" t="s">
        <v>91</v>
      </c>
      <c r="E38" s="238"/>
      <c r="F38" s="71">
        <v>10</v>
      </c>
      <c r="G38" s="12">
        <v>0.01</v>
      </c>
      <c r="H38" s="12">
        <f t="shared" si="0"/>
        <v>0.1</v>
      </c>
      <c r="I38" s="12">
        <f>PRODUCT(H38,C6)</f>
        <v>0.12970000000000001</v>
      </c>
      <c r="J38" s="34">
        <f>SUM(C6,I38)</f>
        <v>1.4266999999999999</v>
      </c>
      <c r="K38" s="38">
        <f>PRODUCT(J8,J38)</f>
        <v>2137.1965999999998</v>
      </c>
      <c r="L38" s="71">
        <v>9</v>
      </c>
      <c r="M38" s="12">
        <v>0.01</v>
      </c>
      <c r="N38" s="12">
        <f t="shared" si="1"/>
        <v>0.09</v>
      </c>
      <c r="O38" s="12">
        <f>PRODUCT(N38,C8)</f>
        <v>0.10259999999999998</v>
      </c>
      <c r="P38" s="34">
        <f>SUM(C8,O38)</f>
        <v>1.2425999999999999</v>
      </c>
      <c r="Q38" s="36">
        <f>PRODUCT(J8,P38)</f>
        <v>1861.4147999999998</v>
      </c>
    </row>
    <row r="39" spans="2:17" x14ac:dyDescent="0.3">
      <c r="B39" s="95">
        <v>26</v>
      </c>
      <c r="C39" s="5"/>
      <c r="D39" s="237" t="s">
        <v>62</v>
      </c>
      <c r="E39" s="238"/>
      <c r="F39" s="71">
        <v>12</v>
      </c>
      <c r="G39" s="12">
        <v>0.01</v>
      </c>
      <c r="H39" s="12">
        <f t="shared" si="0"/>
        <v>0.12</v>
      </c>
      <c r="I39" s="12">
        <f>PRODUCT(H39,C6)</f>
        <v>0.15563999999999997</v>
      </c>
      <c r="J39" s="34">
        <f>SUM(C6,I39)</f>
        <v>1.4526399999999999</v>
      </c>
      <c r="K39" s="38">
        <f>PRODUCT(J8,J39)</f>
        <v>2176.0547200000001</v>
      </c>
      <c r="L39" s="71">
        <v>10</v>
      </c>
      <c r="M39" s="12">
        <v>0.01</v>
      </c>
      <c r="N39" s="12">
        <f t="shared" si="1"/>
        <v>0.1</v>
      </c>
      <c r="O39" s="12">
        <f>PRODUCT(N39,C8)</f>
        <v>0.11399999999999999</v>
      </c>
      <c r="P39" s="34">
        <f>SUM(C8,O39)</f>
        <v>1.254</v>
      </c>
      <c r="Q39" s="36">
        <f>PRODUCT(J8,P39)</f>
        <v>1878.492</v>
      </c>
    </row>
    <row r="40" spans="2:17" x14ac:dyDescent="0.3">
      <c r="B40" s="95">
        <v>27</v>
      </c>
      <c r="C40" s="5"/>
      <c r="D40" s="237" t="s">
        <v>219</v>
      </c>
      <c r="E40" s="238"/>
      <c r="F40" s="71">
        <v>12</v>
      </c>
      <c r="G40" s="12">
        <v>0.01</v>
      </c>
      <c r="H40" s="12">
        <f t="shared" si="0"/>
        <v>0.12</v>
      </c>
      <c r="I40" s="12">
        <f>PRODUCT(H40,C6)</f>
        <v>0.15563999999999997</v>
      </c>
      <c r="J40" s="34">
        <f>SUM(C6,I40)</f>
        <v>1.4526399999999999</v>
      </c>
      <c r="K40" s="38">
        <f>PRODUCT(J8,J40)</f>
        <v>2176.0547200000001</v>
      </c>
      <c r="L40" s="71">
        <v>5</v>
      </c>
      <c r="M40" s="12">
        <v>0.01</v>
      </c>
      <c r="N40" s="12">
        <f t="shared" si="1"/>
        <v>0.05</v>
      </c>
      <c r="O40" s="12">
        <f>PRODUCT(N40,C8)</f>
        <v>5.6999999999999995E-2</v>
      </c>
      <c r="P40" s="34">
        <f>SUM(C8,O40)</f>
        <v>1.1969999999999998</v>
      </c>
      <c r="Q40" s="36">
        <f>PRODUCT(J8,P40)</f>
        <v>1793.1059999999998</v>
      </c>
    </row>
    <row r="41" spans="2:17" x14ac:dyDescent="0.3">
      <c r="B41" s="95">
        <v>28</v>
      </c>
      <c r="C41" s="5"/>
      <c r="D41" s="237" t="s">
        <v>107</v>
      </c>
      <c r="E41" s="238"/>
      <c r="F41" s="71">
        <v>8</v>
      </c>
      <c r="G41" s="12">
        <v>0.01</v>
      </c>
      <c r="H41" s="12">
        <f t="shared" si="0"/>
        <v>0.08</v>
      </c>
      <c r="I41" s="12">
        <f>PRODUCT(H41,C6)</f>
        <v>0.10375999999999999</v>
      </c>
      <c r="J41" s="34">
        <f>SUM(C6,I41)</f>
        <v>1.40076</v>
      </c>
      <c r="K41" s="38">
        <f>PRODUCT(J8,J41)</f>
        <v>2098.3384799999999</v>
      </c>
      <c r="L41" s="71">
        <v>6</v>
      </c>
      <c r="M41" s="12">
        <v>0.01</v>
      </c>
      <c r="N41" s="12">
        <f t="shared" si="1"/>
        <v>0.06</v>
      </c>
      <c r="O41" s="12">
        <f>PRODUCT(N41,C8)</f>
        <v>6.8399999999999989E-2</v>
      </c>
      <c r="P41" s="34">
        <f>SUM(C8,O41)</f>
        <v>1.2083999999999999</v>
      </c>
      <c r="Q41" s="36">
        <f>PRODUCT(J8,P41)</f>
        <v>1810.1831999999999</v>
      </c>
    </row>
    <row r="42" spans="2:17" x14ac:dyDescent="0.3">
      <c r="B42" s="95">
        <v>29</v>
      </c>
      <c r="C42" s="5"/>
      <c r="D42" s="237" t="s">
        <v>183</v>
      </c>
      <c r="E42" s="238"/>
      <c r="F42" s="71">
        <v>8</v>
      </c>
      <c r="G42" s="12">
        <v>0.01</v>
      </c>
      <c r="H42" s="12">
        <f t="shared" si="0"/>
        <v>0.08</v>
      </c>
      <c r="I42" s="12">
        <f>PRODUCT(H42,C6)</f>
        <v>0.10375999999999999</v>
      </c>
      <c r="J42" s="34">
        <f>SUM(C6,I42)</f>
        <v>1.40076</v>
      </c>
      <c r="K42" s="38">
        <f>PRODUCT(J8,J42)</f>
        <v>2098.3384799999999</v>
      </c>
      <c r="L42" s="71">
        <v>5</v>
      </c>
      <c r="M42" s="12">
        <v>0.01</v>
      </c>
      <c r="N42" s="12">
        <f t="shared" si="1"/>
        <v>0.05</v>
      </c>
      <c r="O42" s="12">
        <f>PRODUCT(N42,C8)</f>
        <v>5.6999999999999995E-2</v>
      </c>
      <c r="P42" s="34">
        <f>SUM(C8,O42)</f>
        <v>1.1969999999999998</v>
      </c>
      <c r="Q42" s="36">
        <f>PRODUCT(J8,P42)</f>
        <v>1793.1059999999998</v>
      </c>
    </row>
    <row r="43" spans="2:17" x14ac:dyDescent="0.3">
      <c r="B43" s="95">
        <v>30</v>
      </c>
      <c r="C43" s="5"/>
      <c r="D43" s="237" t="s">
        <v>189</v>
      </c>
      <c r="E43" s="238"/>
      <c r="F43" s="71">
        <v>8</v>
      </c>
      <c r="G43" s="12">
        <v>0.01</v>
      </c>
      <c r="H43" s="12">
        <f t="shared" si="0"/>
        <v>0.08</v>
      </c>
      <c r="I43" s="12">
        <f>PRODUCT(H43,C6)</f>
        <v>0.10375999999999999</v>
      </c>
      <c r="J43" s="34">
        <f>SUM(C6,I43)</f>
        <v>1.40076</v>
      </c>
      <c r="K43" s="38">
        <f>PRODUCT(J8,J43)</f>
        <v>2098.3384799999999</v>
      </c>
      <c r="L43" s="71">
        <v>5</v>
      </c>
      <c r="M43" s="12">
        <v>0.01</v>
      </c>
      <c r="N43" s="12">
        <f t="shared" si="1"/>
        <v>0.05</v>
      </c>
      <c r="O43" s="12">
        <f>PRODUCT(N43,C8)</f>
        <v>5.6999999999999995E-2</v>
      </c>
      <c r="P43" s="34">
        <f>SUM(C8,O43)</f>
        <v>1.1969999999999998</v>
      </c>
      <c r="Q43" s="36">
        <f>PRODUCT(J8,P43)</f>
        <v>1793.1059999999998</v>
      </c>
    </row>
    <row r="44" spans="2:17" x14ac:dyDescent="0.3">
      <c r="B44" s="95">
        <v>31</v>
      </c>
      <c r="C44" s="5"/>
      <c r="D44" s="237" t="s">
        <v>351</v>
      </c>
      <c r="E44" s="238"/>
      <c r="F44" s="71">
        <v>6</v>
      </c>
      <c r="G44" s="12">
        <v>0.01</v>
      </c>
      <c r="H44" s="12">
        <f t="shared" si="0"/>
        <v>0.06</v>
      </c>
      <c r="I44" s="12">
        <f>PRODUCT(H44,C6)</f>
        <v>7.7819999999999986E-2</v>
      </c>
      <c r="J44" s="34">
        <f>SUM(C6,I44)</f>
        <v>1.3748199999999999</v>
      </c>
      <c r="K44" s="38">
        <f>PRODUCT(J8,J44)</f>
        <v>2059.48036</v>
      </c>
      <c r="L44" s="71">
        <v>2</v>
      </c>
      <c r="M44" s="12">
        <v>0.01</v>
      </c>
      <c r="N44" s="12">
        <f t="shared" si="1"/>
        <v>0.02</v>
      </c>
      <c r="O44" s="12">
        <f>PRODUCT(N44,C8)</f>
        <v>2.2799999999999997E-2</v>
      </c>
      <c r="P44" s="34">
        <f>SUM(C8,O44)</f>
        <v>1.1627999999999998</v>
      </c>
      <c r="Q44" s="36">
        <f>PRODUCT(J8,P44)</f>
        <v>1741.8743999999997</v>
      </c>
    </row>
    <row r="45" spans="2:17" x14ac:dyDescent="0.3">
      <c r="B45" s="95">
        <v>32</v>
      </c>
      <c r="C45" s="5"/>
      <c r="D45" s="237" t="s">
        <v>186</v>
      </c>
      <c r="E45" s="238"/>
      <c r="F45" s="71">
        <v>12</v>
      </c>
      <c r="G45" s="12">
        <v>0.01</v>
      </c>
      <c r="H45" s="12">
        <f t="shared" si="0"/>
        <v>0.12</v>
      </c>
      <c r="I45" s="12">
        <f>PRODUCT(H45,C6)</f>
        <v>0.15563999999999997</v>
      </c>
      <c r="J45" s="34">
        <f>SUM(C6,I45)</f>
        <v>1.4526399999999999</v>
      </c>
      <c r="K45" s="38">
        <f>PRODUCT(J8,J45)</f>
        <v>2176.0547200000001</v>
      </c>
      <c r="L45" s="71">
        <v>9</v>
      </c>
      <c r="M45" s="12">
        <v>0.01</v>
      </c>
      <c r="N45" s="12">
        <f t="shared" si="1"/>
        <v>0.09</v>
      </c>
      <c r="O45" s="12">
        <f>PRODUCT(N45,C8)</f>
        <v>0.10259999999999998</v>
      </c>
      <c r="P45" s="34">
        <f>SUM(C8,O45)</f>
        <v>1.2425999999999999</v>
      </c>
      <c r="Q45" s="36">
        <f>PRODUCT(J8,P45)</f>
        <v>1861.4147999999998</v>
      </c>
    </row>
    <row r="46" spans="2:17" x14ac:dyDescent="0.3">
      <c r="B46" s="95">
        <v>33</v>
      </c>
      <c r="C46" s="5"/>
      <c r="D46" s="237" t="s">
        <v>21</v>
      </c>
      <c r="E46" s="238"/>
      <c r="F46" s="71">
        <v>8</v>
      </c>
      <c r="G46" s="12">
        <v>0.01</v>
      </c>
      <c r="H46" s="12">
        <f t="shared" si="0"/>
        <v>0.08</v>
      </c>
      <c r="I46" s="12">
        <f>PRODUCT(H46,C6)</f>
        <v>0.10375999999999999</v>
      </c>
      <c r="J46" s="34">
        <f>SUM(C6,I46)</f>
        <v>1.40076</v>
      </c>
      <c r="K46" s="38">
        <f>PRODUCT(J8,J46)</f>
        <v>2098.3384799999999</v>
      </c>
      <c r="L46" s="71">
        <v>5</v>
      </c>
      <c r="M46" s="12">
        <v>0.01</v>
      </c>
      <c r="N46" s="12">
        <f t="shared" si="1"/>
        <v>0.05</v>
      </c>
      <c r="O46" s="12">
        <f>PRODUCT(N46,C8)</f>
        <v>5.6999999999999995E-2</v>
      </c>
      <c r="P46" s="34">
        <f>SUM(C8,O46)</f>
        <v>1.1969999999999998</v>
      </c>
      <c r="Q46" s="36">
        <f>PRODUCT(J8,P46)</f>
        <v>1793.1059999999998</v>
      </c>
    </row>
    <row r="47" spans="2:17" x14ac:dyDescent="0.3">
      <c r="B47" s="95">
        <v>34</v>
      </c>
      <c r="C47" s="5"/>
      <c r="D47" s="237" t="s">
        <v>201</v>
      </c>
      <c r="E47" s="238"/>
      <c r="F47" s="71">
        <v>8</v>
      </c>
      <c r="G47" s="12">
        <v>0.01</v>
      </c>
      <c r="H47" s="12">
        <f t="shared" si="0"/>
        <v>0.08</v>
      </c>
      <c r="I47" s="12">
        <f>PRODUCT(H47,C6)</f>
        <v>0.10375999999999999</v>
      </c>
      <c r="J47" s="34">
        <f>SUM(C6,I47)</f>
        <v>1.40076</v>
      </c>
      <c r="K47" s="38">
        <f>PRODUCT(J8,J47)</f>
        <v>2098.3384799999999</v>
      </c>
      <c r="L47" s="71">
        <v>5</v>
      </c>
      <c r="M47" s="12">
        <v>0.01</v>
      </c>
      <c r="N47" s="12">
        <f t="shared" si="1"/>
        <v>0.05</v>
      </c>
      <c r="O47" s="12">
        <f>PRODUCT(N47,C8)</f>
        <v>5.6999999999999995E-2</v>
      </c>
      <c r="P47" s="34">
        <f>SUM(C8,O47)</f>
        <v>1.1969999999999998</v>
      </c>
      <c r="Q47" s="36">
        <f>PRODUCT(J8,P47)</f>
        <v>1793.1059999999998</v>
      </c>
    </row>
    <row r="48" spans="2:17" x14ac:dyDescent="0.3">
      <c r="B48" s="95">
        <v>35</v>
      </c>
      <c r="C48" s="5"/>
      <c r="D48" s="237" t="s">
        <v>22</v>
      </c>
      <c r="E48" s="238"/>
      <c r="F48" s="71">
        <v>14</v>
      </c>
      <c r="G48" s="12">
        <v>0.01</v>
      </c>
      <c r="H48" s="12">
        <f t="shared" si="0"/>
        <v>0.14000000000000001</v>
      </c>
      <c r="I48" s="12">
        <f>PRODUCT(H48,C6)</f>
        <v>0.18158000000000002</v>
      </c>
      <c r="J48" s="34">
        <f>SUM(C6,I48)</f>
        <v>1.47858</v>
      </c>
      <c r="K48" s="38">
        <f>PRODUCT(J8,J48)</f>
        <v>2214.91284</v>
      </c>
      <c r="L48" s="71">
        <v>12</v>
      </c>
      <c r="M48" s="12">
        <v>0.01</v>
      </c>
      <c r="N48" s="12">
        <f t="shared" si="1"/>
        <v>0.12</v>
      </c>
      <c r="O48" s="12">
        <f>PRODUCT(N48,C8)</f>
        <v>0.13679999999999998</v>
      </c>
      <c r="P48" s="34">
        <f>SUM(C8,O48)</f>
        <v>1.2767999999999999</v>
      </c>
      <c r="Q48" s="36">
        <f>PRODUCT(J8,P48)</f>
        <v>1912.6463999999999</v>
      </c>
    </row>
    <row r="49" spans="2:19" x14ac:dyDescent="0.3">
      <c r="B49" s="95">
        <v>36</v>
      </c>
      <c r="C49" s="5"/>
      <c r="D49" s="237" t="s">
        <v>169</v>
      </c>
      <c r="E49" s="238"/>
      <c r="F49" s="71">
        <v>8</v>
      </c>
      <c r="G49" s="12">
        <v>0.01</v>
      </c>
      <c r="H49" s="12">
        <f t="shared" si="0"/>
        <v>0.08</v>
      </c>
      <c r="I49" s="12">
        <f>PRODUCT(H49,C6)</f>
        <v>0.10375999999999999</v>
      </c>
      <c r="J49" s="34">
        <f>SUM(C6,I49)</f>
        <v>1.40076</v>
      </c>
      <c r="K49" s="38">
        <f>PRODUCT(J8,J49)</f>
        <v>2098.3384799999999</v>
      </c>
      <c r="L49" s="71">
        <v>6</v>
      </c>
      <c r="M49" s="12">
        <v>0.01</v>
      </c>
      <c r="N49" s="12">
        <f t="shared" si="1"/>
        <v>0.06</v>
      </c>
      <c r="O49" s="12">
        <f>PRODUCT(N49,C8)</f>
        <v>6.8399999999999989E-2</v>
      </c>
      <c r="P49" s="34">
        <f>SUM(C8,O49)</f>
        <v>1.2083999999999999</v>
      </c>
      <c r="Q49" s="36">
        <f>PRODUCT(J8,P49)</f>
        <v>1810.1831999999999</v>
      </c>
    </row>
    <row r="50" spans="2:19" x14ac:dyDescent="0.3">
      <c r="B50" s="95">
        <v>37</v>
      </c>
      <c r="C50" s="5"/>
      <c r="D50" s="237" t="s">
        <v>181</v>
      </c>
      <c r="E50" s="238"/>
      <c r="F50" s="71">
        <v>12</v>
      </c>
      <c r="G50" s="12">
        <v>0.01</v>
      </c>
      <c r="H50" s="12">
        <f t="shared" si="0"/>
        <v>0.12</v>
      </c>
      <c r="I50" s="12">
        <f>PRODUCT(H50,C6)</f>
        <v>0.15563999999999997</v>
      </c>
      <c r="J50" s="34">
        <f>SUM(C6,I50)</f>
        <v>1.4526399999999999</v>
      </c>
      <c r="K50" s="38">
        <f>PRODUCT(J8,J50)</f>
        <v>2176.0547200000001</v>
      </c>
      <c r="L50" s="71">
        <v>9</v>
      </c>
      <c r="M50" s="12">
        <v>0.01</v>
      </c>
      <c r="N50" s="12">
        <f t="shared" si="1"/>
        <v>0.09</v>
      </c>
      <c r="O50" s="12">
        <f>PRODUCT(N50,C8)</f>
        <v>0.10259999999999998</v>
      </c>
      <c r="P50" s="34">
        <f>SUM(C8,O50)</f>
        <v>1.2425999999999999</v>
      </c>
      <c r="Q50" s="36">
        <f>PRODUCT(J8,P50)</f>
        <v>1861.4147999999998</v>
      </c>
    </row>
    <row r="51" spans="2:19" x14ac:dyDescent="0.3">
      <c r="B51" s="95">
        <v>38</v>
      </c>
      <c r="C51" s="5"/>
      <c r="D51" s="237" t="s">
        <v>89</v>
      </c>
      <c r="E51" s="238"/>
      <c r="F51" s="71">
        <v>12</v>
      </c>
      <c r="G51" s="12">
        <v>0.01</v>
      </c>
      <c r="H51" s="12">
        <f t="shared" si="0"/>
        <v>0.12</v>
      </c>
      <c r="I51" s="12">
        <f>PRODUCT(H51,C6)</f>
        <v>0.15563999999999997</v>
      </c>
      <c r="J51" s="34">
        <f>SUM(C6,I51)</f>
        <v>1.4526399999999999</v>
      </c>
      <c r="K51" s="38">
        <f>PRODUCT(J8,J51)</f>
        <v>2176.0547200000001</v>
      </c>
      <c r="L51" s="71">
        <v>10</v>
      </c>
      <c r="M51" s="12">
        <v>0.01</v>
      </c>
      <c r="N51" s="12">
        <f t="shared" si="1"/>
        <v>0.1</v>
      </c>
      <c r="O51" s="12">
        <f>PRODUCT(N51,C8)</f>
        <v>0.11399999999999999</v>
      </c>
      <c r="P51" s="34">
        <f>SUM(C8,O51)</f>
        <v>1.254</v>
      </c>
      <c r="Q51" s="36">
        <f>PRODUCT(J8,P51)</f>
        <v>1878.492</v>
      </c>
    </row>
    <row r="52" spans="2:19" x14ac:dyDescent="0.3">
      <c r="B52" s="95">
        <v>39</v>
      </c>
      <c r="C52" s="5"/>
      <c r="D52" s="237" t="s">
        <v>88</v>
      </c>
      <c r="E52" s="238"/>
      <c r="F52" s="71">
        <v>8</v>
      </c>
      <c r="G52" s="12">
        <v>0.01</v>
      </c>
      <c r="H52" s="12">
        <f t="shared" si="0"/>
        <v>0.08</v>
      </c>
      <c r="I52" s="12">
        <f>PRODUCT(H52,C6)</f>
        <v>0.10375999999999999</v>
      </c>
      <c r="J52" s="34">
        <f>SUM(C6,I52)</f>
        <v>1.40076</v>
      </c>
      <c r="K52" s="38">
        <f>PRODUCT(J8,J52)</f>
        <v>2098.3384799999999</v>
      </c>
      <c r="L52" s="71">
        <v>5</v>
      </c>
      <c r="M52" s="12">
        <v>0.01</v>
      </c>
      <c r="N52" s="12">
        <f t="shared" si="1"/>
        <v>0.05</v>
      </c>
      <c r="O52" s="12">
        <f>PRODUCT(N52,C8)</f>
        <v>5.6999999999999995E-2</v>
      </c>
      <c r="P52" s="34">
        <f>SUM(C8,O52)</f>
        <v>1.1969999999999998</v>
      </c>
      <c r="Q52" s="36">
        <f>PRODUCT(J8,P52)</f>
        <v>1793.1059999999998</v>
      </c>
    </row>
    <row r="53" spans="2:19" x14ac:dyDescent="0.3">
      <c r="B53" s="95">
        <v>40</v>
      </c>
      <c r="C53" s="5"/>
      <c r="D53" s="237" t="s">
        <v>184</v>
      </c>
      <c r="E53" s="238"/>
      <c r="F53" s="71">
        <v>12</v>
      </c>
      <c r="G53" s="12">
        <v>0.01</v>
      </c>
      <c r="H53" s="12">
        <f t="shared" si="0"/>
        <v>0.12</v>
      </c>
      <c r="I53" s="12">
        <f>PRODUCT(H53,C6)</f>
        <v>0.15563999999999997</v>
      </c>
      <c r="J53" s="34">
        <f>SUM(C6,I53)</f>
        <v>1.4526399999999999</v>
      </c>
      <c r="K53" s="38">
        <f>PRODUCT(J8,J53)</f>
        <v>2176.0547200000001</v>
      </c>
      <c r="L53" s="71">
        <v>10</v>
      </c>
      <c r="M53" s="12">
        <v>0.01</v>
      </c>
      <c r="N53" s="12">
        <f t="shared" si="1"/>
        <v>0.1</v>
      </c>
      <c r="O53" s="12">
        <f>PRODUCT(N53,C8)</f>
        <v>0.11399999999999999</v>
      </c>
      <c r="P53" s="34">
        <f>SUM(C8,O53)</f>
        <v>1.254</v>
      </c>
      <c r="Q53" s="36">
        <f>PRODUCT(J8,P53)</f>
        <v>1878.492</v>
      </c>
      <c r="R53" s="181"/>
    </row>
    <row r="54" spans="2:19" x14ac:dyDescent="0.3">
      <c r="B54" s="95">
        <v>41</v>
      </c>
      <c r="C54" s="5"/>
      <c r="D54" s="237" t="s">
        <v>90</v>
      </c>
      <c r="E54" s="238"/>
      <c r="F54" s="71">
        <v>8</v>
      </c>
      <c r="G54" s="12">
        <v>0.01</v>
      </c>
      <c r="H54" s="12">
        <f t="shared" si="0"/>
        <v>0.08</v>
      </c>
      <c r="I54" s="12">
        <f>PRODUCT(H54,C6)</f>
        <v>0.10375999999999999</v>
      </c>
      <c r="J54" s="34">
        <f>SUM(C6,I54)</f>
        <v>1.40076</v>
      </c>
      <c r="K54" s="38">
        <f>PRODUCT(J8,J54)</f>
        <v>2098.3384799999999</v>
      </c>
      <c r="L54" s="71">
        <v>6</v>
      </c>
      <c r="M54" s="12">
        <v>0.01</v>
      </c>
      <c r="N54" s="12">
        <f t="shared" si="1"/>
        <v>0.06</v>
      </c>
      <c r="O54" s="12">
        <f>PRODUCT(N54,C8)</f>
        <v>6.8399999999999989E-2</v>
      </c>
      <c r="P54" s="34">
        <f>SUM(C8,O54)</f>
        <v>1.2083999999999999</v>
      </c>
      <c r="Q54" s="36">
        <f>PRODUCT(J8,P54)</f>
        <v>1810.1831999999999</v>
      </c>
      <c r="R54" s="181"/>
      <c r="S54" s="140"/>
    </row>
    <row r="55" spans="2:19" x14ac:dyDescent="0.3">
      <c r="B55" s="95">
        <v>42</v>
      </c>
      <c r="C55" s="5"/>
      <c r="D55" s="237" t="s">
        <v>127</v>
      </c>
      <c r="E55" s="238"/>
      <c r="F55" s="71">
        <v>12</v>
      </c>
      <c r="G55" s="12">
        <v>0.01</v>
      </c>
      <c r="H55" s="12">
        <f t="shared" si="0"/>
        <v>0.12</v>
      </c>
      <c r="I55" s="12">
        <f>PRODUCT(H55,C6)</f>
        <v>0.15563999999999997</v>
      </c>
      <c r="J55" s="34">
        <f>SUM(C6,I55)</f>
        <v>1.4526399999999999</v>
      </c>
      <c r="K55" s="38">
        <f>PRODUCT(J8,J55)</f>
        <v>2176.0547200000001</v>
      </c>
      <c r="L55" s="71">
        <v>9</v>
      </c>
      <c r="M55" s="12">
        <v>0.01</v>
      </c>
      <c r="N55" s="12">
        <f t="shared" si="1"/>
        <v>0.09</v>
      </c>
      <c r="O55" s="12">
        <f>PRODUCT(N55,C8)</f>
        <v>0.10259999999999998</v>
      </c>
      <c r="P55" s="34">
        <f>SUM(C8,O55)</f>
        <v>1.2425999999999999</v>
      </c>
      <c r="Q55" s="36">
        <f>PRODUCT(J8,P55)</f>
        <v>1861.4147999999998</v>
      </c>
    </row>
    <row r="56" spans="2:19" x14ac:dyDescent="0.3">
      <c r="B56" s="95">
        <v>43</v>
      </c>
      <c r="C56" s="5"/>
      <c r="D56" s="237" t="s">
        <v>23</v>
      </c>
      <c r="E56" s="238"/>
      <c r="F56" s="71">
        <v>10</v>
      </c>
      <c r="G56" s="12">
        <v>0.01</v>
      </c>
      <c r="H56" s="12">
        <f t="shared" si="0"/>
        <v>0.1</v>
      </c>
      <c r="I56" s="12">
        <f>PRODUCT(H56,C6)</f>
        <v>0.12970000000000001</v>
      </c>
      <c r="J56" s="34">
        <f>SUM(C6,I56)</f>
        <v>1.4266999999999999</v>
      </c>
      <c r="K56" s="38">
        <f>PRODUCT(J8,J56)</f>
        <v>2137.1965999999998</v>
      </c>
      <c r="L56" s="71">
        <v>7</v>
      </c>
      <c r="M56" s="12">
        <v>0.01</v>
      </c>
      <c r="N56" s="12">
        <f t="shared" si="1"/>
        <v>7.0000000000000007E-2</v>
      </c>
      <c r="O56" s="12">
        <f>PRODUCT(N56,C8)</f>
        <v>7.9799999999999996E-2</v>
      </c>
      <c r="P56" s="34">
        <f>SUM(C8,O56)</f>
        <v>1.2198</v>
      </c>
      <c r="Q56" s="36">
        <f>PRODUCT(J8,P56)</f>
        <v>1827.2603999999999</v>
      </c>
    </row>
    <row r="57" spans="2:19" x14ac:dyDescent="0.3">
      <c r="B57" s="95">
        <v>44</v>
      </c>
      <c r="C57" s="5"/>
      <c r="D57" s="237" t="s">
        <v>190</v>
      </c>
      <c r="E57" s="238"/>
      <c r="F57" s="71">
        <v>12</v>
      </c>
      <c r="G57" s="12">
        <v>0.01</v>
      </c>
      <c r="H57" s="12">
        <f t="shared" si="0"/>
        <v>0.12</v>
      </c>
      <c r="I57" s="12">
        <f>PRODUCT(H57,C6)</f>
        <v>0.15563999999999997</v>
      </c>
      <c r="J57" s="34">
        <f>SUM(C6,I57)</f>
        <v>1.4526399999999999</v>
      </c>
      <c r="K57" s="38">
        <f>PRODUCT(J8,J57)</f>
        <v>2176.0547200000001</v>
      </c>
      <c r="L57" s="71">
        <v>11</v>
      </c>
      <c r="M57" s="12">
        <v>0.01</v>
      </c>
      <c r="N57" s="12">
        <f t="shared" si="1"/>
        <v>0.11</v>
      </c>
      <c r="O57" s="12">
        <f>PRODUCT(N57,C8)</f>
        <v>0.12539999999999998</v>
      </c>
      <c r="P57" s="34">
        <f>SUM(C8,O57)</f>
        <v>1.2653999999999999</v>
      </c>
      <c r="Q57" s="36">
        <f>PRODUCT(J8,P57)</f>
        <v>1895.5691999999997</v>
      </c>
    </row>
    <row r="58" spans="2:19" x14ac:dyDescent="0.3">
      <c r="B58" s="95">
        <v>45</v>
      </c>
      <c r="C58" s="5"/>
      <c r="D58" s="237" t="s">
        <v>67</v>
      </c>
      <c r="E58" s="238"/>
      <c r="F58" s="71">
        <v>12</v>
      </c>
      <c r="G58" s="12">
        <v>0.01</v>
      </c>
      <c r="H58" s="12">
        <f t="shared" si="0"/>
        <v>0.12</v>
      </c>
      <c r="I58" s="12">
        <f>PRODUCT(H58,C6)</f>
        <v>0.15563999999999997</v>
      </c>
      <c r="J58" s="34">
        <f>SUM(C6,I58)</f>
        <v>1.4526399999999999</v>
      </c>
      <c r="K58" s="38">
        <f>PRODUCT(J8,J58)</f>
        <v>2176.0547200000001</v>
      </c>
      <c r="L58" s="71">
        <v>10</v>
      </c>
      <c r="M58" s="12">
        <v>0.01</v>
      </c>
      <c r="N58" s="12">
        <f t="shared" si="1"/>
        <v>0.1</v>
      </c>
      <c r="O58" s="12">
        <f>PRODUCT(N58,C8)</f>
        <v>0.11399999999999999</v>
      </c>
      <c r="P58" s="34">
        <f>SUM(C8,O58)</f>
        <v>1.254</v>
      </c>
      <c r="Q58" s="36">
        <f>PRODUCT(J8,P58)</f>
        <v>1878.492</v>
      </c>
    </row>
    <row r="59" spans="2:19" x14ac:dyDescent="0.3">
      <c r="B59" s="95">
        <v>46</v>
      </c>
      <c r="C59" s="5"/>
      <c r="D59" s="237" t="s">
        <v>200</v>
      </c>
      <c r="E59" s="238"/>
      <c r="F59" s="71">
        <v>10</v>
      </c>
      <c r="G59" s="12">
        <v>0.01</v>
      </c>
      <c r="H59" s="12">
        <f t="shared" si="0"/>
        <v>0.1</v>
      </c>
      <c r="I59" s="12">
        <f>PRODUCT(H59,C6)</f>
        <v>0.12970000000000001</v>
      </c>
      <c r="J59" s="34">
        <f>SUM(C6,I59)</f>
        <v>1.4266999999999999</v>
      </c>
      <c r="K59" s="38">
        <f>PRODUCT(J8,J59)</f>
        <v>2137.1965999999998</v>
      </c>
      <c r="L59" s="71">
        <v>8</v>
      </c>
      <c r="M59" s="12">
        <v>0.01</v>
      </c>
      <c r="N59" s="12">
        <f t="shared" si="1"/>
        <v>0.08</v>
      </c>
      <c r="O59" s="12">
        <f>PRODUCT(N59,C8)</f>
        <v>9.1199999999999989E-2</v>
      </c>
      <c r="P59" s="34">
        <f>SUM(C8,O59)</f>
        <v>1.2311999999999999</v>
      </c>
      <c r="Q59" s="36">
        <f>PRODUCT(J8,P59)</f>
        <v>1844.3375999999998</v>
      </c>
    </row>
    <row r="60" spans="2:19" x14ac:dyDescent="0.3">
      <c r="B60" s="95">
        <v>47</v>
      </c>
      <c r="C60" s="5"/>
      <c r="D60" s="237" t="s">
        <v>60</v>
      </c>
      <c r="E60" s="238"/>
      <c r="F60" s="71">
        <v>8</v>
      </c>
      <c r="G60" s="12">
        <v>0.01</v>
      </c>
      <c r="H60" s="12">
        <f t="shared" si="0"/>
        <v>0.08</v>
      </c>
      <c r="I60" s="12">
        <f>PRODUCT(H60,C6)</f>
        <v>0.10375999999999999</v>
      </c>
      <c r="J60" s="34">
        <f>SUM(C6,I60)</f>
        <v>1.40076</v>
      </c>
      <c r="K60" s="38">
        <f>PRODUCT(J8,J60)</f>
        <v>2098.3384799999999</v>
      </c>
      <c r="L60" s="71">
        <v>5</v>
      </c>
      <c r="M60" s="12">
        <v>0.01</v>
      </c>
      <c r="N60" s="12">
        <f t="shared" si="1"/>
        <v>0.05</v>
      </c>
      <c r="O60" s="12">
        <f>PRODUCT(N60,C8)</f>
        <v>5.6999999999999995E-2</v>
      </c>
      <c r="P60" s="34">
        <f>SUM(C8,O60)</f>
        <v>1.1969999999999998</v>
      </c>
      <c r="Q60" s="36">
        <f>PRODUCT(J8,P60)</f>
        <v>1793.1059999999998</v>
      </c>
    </row>
    <row r="61" spans="2:19" x14ac:dyDescent="0.3">
      <c r="B61" s="95">
        <v>48</v>
      </c>
      <c r="C61" s="5"/>
      <c r="D61" s="237" t="s">
        <v>170</v>
      </c>
      <c r="E61" s="238"/>
      <c r="F61" s="71">
        <v>10</v>
      </c>
      <c r="G61" s="12">
        <v>0.01</v>
      </c>
      <c r="H61" s="12">
        <f t="shared" si="0"/>
        <v>0.1</v>
      </c>
      <c r="I61" s="12">
        <f>PRODUCT(H61,C6)</f>
        <v>0.12970000000000001</v>
      </c>
      <c r="J61" s="34">
        <f>SUM(C6,I61)</f>
        <v>1.4266999999999999</v>
      </c>
      <c r="K61" s="38">
        <f>PRODUCT(J8,J61)</f>
        <v>2137.1965999999998</v>
      </c>
      <c r="L61" s="71">
        <v>7</v>
      </c>
      <c r="M61" s="12">
        <v>0.01</v>
      </c>
      <c r="N61" s="12">
        <f t="shared" si="1"/>
        <v>7.0000000000000007E-2</v>
      </c>
      <c r="O61" s="12">
        <f>PRODUCT(N61,C8)</f>
        <v>7.9799999999999996E-2</v>
      </c>
      <c r="P61" s="34">
        <f>SUM(C8,O61)</f>
        <v>1.2198</v>
      </c>
      <c r="Q61" s="36">
        <f>PRODUCT(J8,P61)</f>
        <v>1827.2603999999999</v>
      </c>
    </row>
    <row r="62" spans="2:19" x14ac:dyDescent="0.3">
      <c r="B62" s="95">
        <v>49</v>
      </c>
      <c r="C62" s="5"/>
      <c r="D62" s="237" t="s">
        <v>149</v>
      </c>
      <c r="E62" s="238"/>
      <c r="F62" s="71">
        <v>6</v>
      </c>
      <c r="G62" s="12">
        <v>0.01</v>
      </c>
      <c r="H62" s="12">
        <f t="shared" si="0"/>
        <v>0.06</v>
      </c>
      <c r="I62" s="12">
        <f>PRODUCT(H62,C6)</f>
        <v>7.7819999999999986E-2</v>
      </c>
      <c r="J62" s="34">
        <f>SUM(C6,I62)</f>
        <v>1.3748199999999999</v>
      </c>
      <c r="K62" s="38">
        <f>PRODUCT(J8,J62)</f>
        <v>2059.48036</v>
      </c>
      <c r="L62" s="71">
        <v>1</v>
      </c>
      <c r="M62" s="12">
        <v>0.01</v>
      </c>
      <c r="N62" s="12">
        <f t="shared" si="1"/>
        <v>0.01</v>
      </c>
      <c r="O62" s="12">
        <f>PRODUCT(N62,C8)</f>
        <v>1.1399999999999999E-2</v>
      </c>
      <c r="P62" s="34">
        <f>SUM(C8,O62)</f>
        <v>1.1514</v>
      </c>
      <c r="Q62" s="36">
        <f>PRODUCT(J8,P62)</f>
        <v>1724.7972</v>
      </c>
    </row>
    <row r="63" spans="2:19" x14ac:dyDescent="0.3">
      <c r="B63" s="95">
        <v>50</v>
      </c>
      <c r="C63" s="5"/>
      <c r="D63" s="237" t="s">
        <v>228</v>
      </c>
      <c r="E63" s="238"/>
      <c r="F63" s="71">
        <v>6</v>
      </c>
      <c r="G63" s="12">
        <v>0.01</v>
      </c>
      <c r="H63" s="12">
        <f t="shared" si="0"/>
        <v>0.06</v>
      </c>
      <c r="I63" s="12">
        <f>PRODUCT(H63,C6)</f>
        <v>7.7819999999999986E-2</v>
      </c>
      <c r="J63" s="34">
        <f>SUM(C6,I63)</f>
        <v>1.3748199999999999</v>
      </c>
      <c r="K63" s="38">
        <f>PRODUCT(J8,J63)</f>
        <v>2059.48036</v>
      </c>
      <c r="L63" s="71">
        <v>3</v>
      </c>
      <c r="M63" s="12">
        <v>0.01</v>
      </c>
      <c r="N63" s="12">
        <f t="shared" si="1"/>
        <v>0.03</v>
      </c>
      <c r="O63" s="12">
        <f>PRODUCT(N63,C8)</f>
        <v>3.4199999999999994E-2</v>
      </c>
      <c r="P63" s="34">
        <f>SUM(C8,O63)</f>
        <v>1.1741999999999999</v>
      </c>
      <c r="Q63" s="36">
        <f>PRODUCT(J8,P63)</f>
        <v>1758.9515999999999</v>
      </c>
    </row>
    <row r="64" spans="2:19" x14ac:dyDescent="0.3">
      <c r="B64" s="95">
        <v>51</v>
      </c>
      <c r="C64" s="5"/>
      <c r="D64" s="237" t="s">
        <v>59</v>
      </c>
      <c r="E64" s="238"/>
      <c r="F64" s="71">
        <v>8</v>
      </c>
      <c r="G64" s="12">
        <v>0.01</v>
      </c>
      <c r="H64" s="12">
        <f t="shared" si="0"/>
        <v>0.08</v>
      </c>
      <c r="I64" s="12">
        <f>PRODUCT(H64,C6)</f>
        <v>0.10375999999999999</v>
      </c>
      <c r="J64" s="34">
        <f>SUM(C6,I64)</f>
        <v>1.40076</v>
      </c>
      <c r="K64" s="38">
        <f>PRODUCT(J8,J64)</f>
        <v>2098.3384799999999</v>
      </c>
      <c r="L64" s="71">
        <v>6</v>
      </c>
      <c r="M64" s="12">
        <v>0.01</v>
      </c>
      <c r="N64" s="12">
        <f t="shared" si="1"/>
        <v>0.06</v>
      </c>
      <c r="O64" s="12">
        <f>PRODUCT(N64,C8)</f>
        <v>6.8399999999999989E-2</v>
      </c>
      <c r="P64" s="34">
        <f>SUM(C8,O64)</f>
        <v>1.2083999999999999</v>
      </c>
      <c r="Q64" s="36">
        <f>PRODUCT(J8,P64)</f>
        <v>1810.1831999999999</v>
      </c>
    </row>
    <row r="65" spans="2:17" x14ac:dyDescent="0.3">
      <c r="B65" s="95">
        <v>52</v>
      </c>
      <c r="C65" s="5"/>
      <c r="D65" s="237" t="s">
        <v>236</v>
      </c>
      <c r="E65" s="238"/>
      <c r="F65" s="71">
        <v>6</v>
      </c>
      <c r="G65" s="12">
        <v>0.01</v>
      </c>
      <c r="H65" s="12">
        <f t="shared" si="0"/>
        <v>0.06</v>
      </c>
      <c r="I65" s="12">
        <f>PRODUCT(H65,C6)</f>
        <v>7.7819999999999986E-2</v>
      </c>
      <c r="J65" s="34">
        <f>SUM(C6,I65)</f>
        <v>1.3748199999999999</v>
      </c>
      <c r="K65" s="38">
        <f>PRODUCT(J8,J65)</f>
        <v>2059.48036</v>
      </c>
      <c r="L65" s="71">
        <v>4</v>
      </c>
      <c r="M65" s="12">
        <v>0.01</v>
      </c>
      <c r="N65" s="12">
        <f t="shared" si="1"/>
        <v>0.04</v>
      </c>
      <c r="O65" s="12">
        <f>PRODUCT(N65,C8)</f>
        <v>4.5599999999999995E-2</v>
      </c>
      <c r="P65" s="34">
        <f>SUM(C8,O65)</f>
        <v>1.1856</v>
      </c>
      <c r="Q65" s="36">
        <f>PRODUCT(J8,P65)</f>
        <v>1776.0288</v>
      </c>
    </row>
    <row r="66" spans="2:17" x14ac:dyDescent="0.3">
      <c r="B66" s="95">
        <v>53</v>
      </c>
      <c r="C66" s="5"/>
      <c r="D66" s="237" t="s">
        <v>177</v>
      </c>
      <c r="E66" s="238"/>
      <c r="F66" s="71">
        <v>9</v>
      </c>
      <c r="G66" s="12">
        <v>0.01</v>
      </c>
      <c r="H66" s="12">
        <f t="shared" si="0"/>
        <v>0.09</v>
      </c>
      <c r="I66" s="12">
        <f>PRODUCT(H66,C6)</f>
        <v>0.11672999999999999</v>
      </c>
      <c r="J66" s="34">
        <f>SUM(C6,I66)</f>
        <v>1.4137299999999999</v>
      </c>
      <c r="K66" s="38">
        <f>PRODUCT(J8,J66)</f>
        <v>2117.7675399999998</v>
      </c>
      <c r="L66" s="71">
        <v>6</v>
      </c>
      <c r="M66" s="12">
        <v>0.01</v>
      </c>
      <c r="N66" s="12">
        <f t="shared" si="1"/>
        <v>0.06</v>
      </c>
      <c r="O66" s="12">
        <f>PRODUCT(N66,C8)</f>
        <v>6.8399999999999989E-2</v>
      </c>
      <c r="P66" s="34">
        <f>SUM(C8,O66)</f>
        <v>1.2083999999999999</v>
      </c>
      <c r="Q66" s="36">
        <f>PRODUCT(J8,P66)</f>
        <v>1810.1831999999999</v>
      </c>
    </row>
    <row r="67" spans="2:17" x14ac:dyDescent="0.3">
      <c r="B67" s="95">
        <v>54</v>
      </c>
      <c r="C67" s="5"/>
      <c r="D67" s="237" t="s">
        <v>292</v>
      </c>
      <c r="E67" s="238"/>
      <c r="F67" s="71">
        <v>8</v>
      </c>
      <c r="G67" s="12">
        <v>0.01</v>
      </c>
      <c r="H67" s="12">
        <f t="shared" si="0"/>
        <v>0.08</v>
      </c>
      <c r="I67" s="12">
        <f>PRODUCT(H67,C6)</f>
        <v>0.10375999999999999</v>
      </c>
      <c r="J67" s="34">
        <f>SUM(C6,I67)</f>
        <v>1.40076</v>
      </c>
      <c r="K67" s="38">
        <f>PRODUCT(J8,J67)</f>
        <v>2098.3384799999999</v>
      </c>
      <c r="L67" s="71">
        <v>5</v>
      </c>
      <c r="M67" s="12">
        <v>0.01</v>
      </c>
      <c r="N67" s="12">
        <f t="shared" si="1"/>
        <v>0.05</v>
      </c>
      <c r="O67" s="12">
        <f>PRODUCT(N67,C8)</f>
        <v>5.6999999999999995E-2</v>
      </c>
      <c r="P67" s="34">
        <f>SUM(C8,O67)</f>
        <v>1.1969999999999998</v>
      </c>
      <c r="Q67" s="36">
        <f>PRODUCT(J8,P67)</f>
        <v>1793.1059999999998</v>
      </c>
    </row>
    <row r="68" spans="2:17" x14ac:dyDescent="0.3">
      <c r="B68" s="95">
        <v>55</v>
      </c>
      <c r="C68" s="5"/>
      <c r="D68" s="237" t="s">
        <v>180</v>
      </c>
      <c r="E68" s="238"/>
      <c r="F68" s="71">
        <v>13.8</v>
      </c>
      <c r="G68" s="12">
        <v>0.01</v>
      </c>
      <c r="H68" s="12">
        <f t="shared" si="0"/>
        <v>0.13800000000000001</v>
      </c>
      <c r="I68" s="12">
        <f>PRODUCT(H68,C6)</f>
        <v>0.17898600000000001</v>
      </c>
      <c r="J68" s="34">
        <f>SUM(C6,I68)</f>
        <v>1.475986</v>
      </c>
      <c r="K68" s="38">
        <f>PRODUCT(J8,J68)</f>
        <v>2211.027028</v>
      </c>
      <c r="L68" s="71">
        <v>22</v>
      </c>
      <c r="M68" s="12">
        <v>0.01</v>
      </c>
      <c r="N68" s="12">
        <f t="shared" si="1"/>
        <v>0.22</v>
      </c>
      <c r="O68" s="12">
        <f>PRODUCT(N68,C8)</f>
        <v>0.25079999999999997</v>
      </c>
      <c r="P68" s="34">
        <f>SUM(C8,O68)</f>
        <v>1.3907999999999998</v>
      </c>
      <c r="Q68" s="36">
        <f>PRODUCT(J8,P68)</f>
        <v>2083.4183999999996</v>
      </c>
    </row>
    <row r="69" spans="2:17" x14ac:dyDescent="0.3">
      <c r="B69" s="95">
        <v>56</v>
      </c>
      <c r="C69" s="5"/>
      <c r="D69" s="237" t="s">
        <v>24</v>
      </c>
      <c r="E69" s="238"/>
      <c r="F69" s="71">
        <v>8</v>
      </c>
      <c r="G69" s="12">
        <v>0.01</v>
      </c>
      <c r="H69" s="12">
        <f t="shared" si="0"/>
        <v>0.08</v>
      </c>
      <c r="I69" s="12">
        <f>PRODUCT(H69,C6)</f>
        <v>0.10375999999999999</v>
      </c>
      <c r="J69" s="34">
        <f>SUM(C6,I69)</f>
        <v>1.40076</v>
      </c>
      <c r="K69" s="38">
        <f>PRODUCT(J8,J69)</f>
        <v>2098.3384799999999</v>
      </c>
      <c r="L69" s="71">
        <v>5</v>
      </c>
      <c r="M69" s="12">
        <v>0.01</v>
      </c>
      <c r="N69" s="12">
        <f t="shared" si="1"/>
        <v>0.05</v>
      </c>
      <c r="O69" s="12">
        <f>PRODUCT(N69,C8)</f>
        <v>5.6999999999999995E-2</v>
      </c>
      <c r="P69" s="34">
        <f>SUM(C8,O69)</f>
        <v>1.1969999999999998</v>
      </c>
      <c r="Q69" s="36">
        <f>PRODUCT(J8,P69)</f>
        <v>1793.1059999999998</v>
      </c>
    </row>
    <row r="70" spans="2:17" x14ac:dyDescent="0.3">
      <c r="B70" s="95">
        <v>57</v>
      </c>
      <c r="C70" s="5"/>
      <c r="D70" s="237" t="s">
        <v>182</v>
      </c>
      <c r="E70" s="238"/>
      <c r="F70" s="71">
        <v>15</v>
      </c>
      <c r="G70" s="12">
        <v>0.01</v>
      </c>
      <c r="H70" s="12">
        <f t="shared" si="0"/>
        <v>0.15</v>
      </c>
      <c r="I70" s="12">
        <f>PRODUCT(H70,C6)</f>
        <v>0.19454999999999997</v>
      </c>
      <c r="J70" s="34">
        <f>SUM(C6,I70)</f>
        <v>1.4915499999999999</v>
      </c>
      <c r="K70" s="38">
        <f>PRODUCT(J8,J70)</f>
        <v>2234.3418999999999</v>
      </c>
      <c r="L70" s="71">
        <v>9</v>
      </c>
      <c r="M70" s="12">
        <v>0.01</v>
      </c>
      <c r="N70" s="12">
        <f t="shared" si="1"/>
        <v>0.09</v>
      </c>
      <c r="O70" s="12">
        <f>PRODUCT(N70,C8)</f>
        <v>0.10259999999999998</v>
      </c>
      <c r="P70" s="34">
        <f>SUM(C8,O70)</f>
        <v>1.2425999999999999</v>
      </c>
      <c r="Q70" s="36">
        <f>PRODUCT(J8,P70)</f>
        <v>1861.4147999999998</v>
      </c>
    </row>
    <row r="71" spans="2:17" x14ac:dyDescent="0.3">
      <c r="B71" s="95">
        <v>58</v>
      </c>
      <c r="C71" s="5"/>
      <c r="D71" s="237" t="s">
        <v>202</v>
      </c>
      <c r="E71" s="238"/>
      <c r="F71" s="71">
        <v>6</v>
      </c>
      <c r="G71" s="12">
        <v>0.01</v>
      </c>
      <c r="H71" s="12">
        <f t="shared" si="0"/>
        <v>0.06</v>
      </c>
      <c r="I71" s="12">
        <f>PRODUCT(H71,C6)</f>
        <v>7.7819999999999986E-2</v>
      </c>
      <c r="J71" s="34">
        <f>SUM(C6,I71)</f>
        <v>1.3748199999999999</v>
      </c>
      <c r="K71" s="38">
        <f>PRODUCT(J8,J71)</f>
        <v>2059.48036</v>
      </c>
      <c r="L71" s="71">
        <v>3</v>
      </c>
      <c r="M71" s="12">
        <v>0.01</v>
      </c>
      <c r="N71" s="12">
        <f t="shared" si="1"/>
        <v>0.03</v>
      </c>
      <c r="O71" s="12">
        <f>PRODUCT(N71,C8)</f>
        <v>3.4199999999999994E-2</v>
      </c>
      <c r="P71" s="34">
        <f>SUM(C8,O71)</f>
        <v>1.1741999999999999</v>
      </c>
      <c r="Q71" s="36">
        <f>PRODUCT(J8,P71)</f>
        <v>1758.9515999999999</v>
      </c>
    </row>
    <row r="72" spans="2:17" x14ac:dyDescent="0.3">
      <c r="B72" s="95">
        <v>59</v>
      </c>
      <c r="C72" s="5"/>
      <c r="D72" s="237" t="s">
        <v>34</v>
      </c>
      <c r="E72" s="238"/>
      <c r="F72" s="71">
        <v>6</v>
      </c>
      <c r="G72" s="12">
        <v>0.01</v>
      </c>
      <c r="H72" s="12">
        <f t="shared" si="0"/>
        <v>0.06</v>
      </c>
      <c r="I72" s="12">
        <f>PRODUCT(H72,C6)</f>
        <v>7.7819999999999986E-2</v>
      </c>
      <c r="J72" s="34">
        <f>SUM(C6,I72)</f>
        <v>1.3748199999999999</v>
      </c>
      <c r="K72" s="38">
        <f>PRODUCT(J8,J72)</f>
        <v>2059.48036</v>
      </c>
      <c r="L72" s="71">
        <v>3</v>
      </c>
      <c r="M72" s="12">
        <v>0.01</v>
      </c>
      <c r="N72" s="12">
        <f t="shared" si="1"/>
        <v>0.03</v>
      </c>
      <c r="O72" s="12">
        <f>PRODUCT(N72,C8)</f>
        <v>3.4199999999999994E-2</v>
      </c>
      <c r="P72" s="34">
        <f>SUM(C8,O72)</f>
        <v>1.1741999999999999</v>
      </c>
      <c r="Q72" s="36">
        <f>PRODUCT(J8,P72)</f>
        <v>1758.9515999999999</v>
      </c>
    </row>
    <row r="73" spans="2:17" x14ac:dyDescent="0.3">
      <c r="B73" s="95">
        <v>60</v>
      </c>
      <c r="C73" s="5"/>
      <c r="D73" s="237" t="s">
        <v>187</v>
      </c>
      <c r="E73" s="238"/>
      <c r="F73" s="71">
        <v>6</v>
      </c>
      <c r="G73" s="12">
        <v>0.01</v>
      </c>
      <c r="H73" s="12">
        <f t="shared" si="0"/>
        <v>0.06</v>
      </c>
      <c r="I73" s="12">
        <f>PRODUCT(H73,C6)</f>
        <v>7.7819999999999986E-2</v>
      </c>
      <c r="J73" s="34">
        <f>SUM(C6,I73)</f>
        <v>1.3748199999999999</v>
      </c>
      <c r="K73" s="38">
        <f>PRODUCT(J8,J73)</f>
        <v>2059.48036</v>
      </c>
      <c r="L73" s="71">
        <v>5</v>
      </c>
      <c r="M73" s="12">
        <v>0.01</v>
      </c>
      <c r="N73" s="12">
        <f t="shared" si="1"/>
        <v>0.05</v>
      </c>
      <c r="O73" s="12">
        <f>PRODUCT(N73,C8)</f>
        <v>5.6999999999999995E-2</v>
      </c>
      <c r="P73" s="34">
        <f>SUM(C8,O73)</f>
        <v>1.1969999999999998</v>
      </c>
      <c r="Q73" s="36">
        <f>PRODUCT(J8,P73)</f>
        <v>1793.1059999999998</v>
      </c>
    </row>
    <row r="74" spans="2:17" x14ac:dyDescent="0.3">
      <c r="B74" s="95">
        <v>61</v>
      </c>
      <c r="C74" s="5"/>
      <c r="D74" s="237" t="s">
        <v>35</v>
      </c>
      <c r="E74" s="238"/>
      <c r="F74" s="71">
        <v>14</v>
      </c>
      <c r="G74" s="12">
        <v>0.01</v>
      </c>
      <c r="H74" s="12">
        <f t="shared" si="0"/>
        <v>0.14000000000000001</v>
      </c>
      <c r="I74" s="12">
        <f>PRODUCT(H74,C6)</f>
        <v>0.18158000000000002</v>
      </c>
      <c r="J74" s="34">
        <f>SUM(C6,I74)</f>
        <v>1.47858</v>
      </c>
      <c r="K74" s="38">
        <f>PRODUCT(J8,J74)</f>
        <v>2214.91284</v>
      </c>
      <c r="L74" s="71">
        <v>11</v>
      </c>
      <c r="M74" s="12">
        <v>0.01</v>
      </c>
      <c r="N74" s="12">
        <f t="shared" si="1"/>
        <v>0.11</v>
      </c>
      <c r="O74" s="12">
        <f>PRODUCT(N74,C8)</f>
        <v>0.12539999999999998</v>
      </c>
      <c r="P74" s="34">
        <f>SUM(C8,O74)</f>
        <v>1.2653999999999999</v>
      </c>
      <c r="Q74" s="36">
        <f>PRODUCT(J8,P74)</f>
        <v>1895.5691999999997</v>
      </c>
    </row>
    <row r="75" spans="2:17" x14ac:dyDescent="0.3">
      <c r="B75" s="95">
        <v>62</v>
      </c>
      <c r="C75" s="5"/>
      <c r="D75" s="237" t="s">
        <v>36</v>
      </c>
      <c r="E75" s="238"/>
      <c r="F75" s="71">
        <v>8</v>
      </c>
      <c r="G75" s="12">
        <v>0.01</v>
      </c>
      <c r="H75" s="12">
        <f t="shared" si="0"/>
        <v>0.08</v>
      </c>
      <c r="I75" s="12">
        <f>PRODUCT(H75,C6)</f>
        <v>0.10375999999999999</v>
      </c>
      <c r="J75" s="34">
        <f>SUM(C6,I75)</f>
        <v>1.40076</v>
      </c>
      <c r="K75" s="38">
        <f>PRODUCT(J8,J75)</f>
        <v>2098.3384799999999</v>
      </c>
      <c r="L75" s="71">
        <v>5</v>
      </c>
      <c r="M75" s="12">
        <v>0.01</v>
      </c>
      <c r="N75" s="12">
        <f t="shared" si="1"/>
        <v>0.05</v>
      </c>
      <c r="O75" s="12">
        <f>PRODUCT(N75,C8)</f>
        <v>5.6999999999999995E-2</v>
      </c>
      <c r="P75" s="34">
        <f>SUM(C8,O75)</f>
        <v>1.1969999999999998</v>
      </c>
      <c r="Q75" s="36">
        <f>PRODUCT(J8,P75)</f>
        <v>1793.1059999999998</v>
      </c>
    </row>
    <row r="76" spans="2:17" x14ac:dyDescent="0.3">
      <c r="B76" s="95">
        <v>63</v>
      </c>
      <c r="C76" s="5"/>
      <c r="D76" s="237" t="s">
        <v>37</v>
      </c>
      <c r="E76" s="238"/>
      <c r="F76" s="71">
        <v>8</v>
      </c>
      <c r="G76" s="12">
        <v>0.01</v>
      </c>
      <c r="H76" s="12">
        <f t="shared" si="0"/>
        <v>0.08</v>
      </c>
      <c r="I76" s="12">
        <f>PRODUCT(H76,C6)</f>
        <v>0.10375999999999999</v>
      </c>
      <c r="J76" s="34">
        <f>SUM(C6,I76)</f>
        <v>1.40076</v>
      </c>
      <c r="K76" s="38">
        <f>PRODUCT(J8,J76)</f>
        <v>2098.3384799999999</v>
      </c>
      <c r="L76" s="71">
        <v>5</v>
      </c>
      <c r="M76" s="12">
        <v>0.01</v>
      </c>
      <c r="N76" s="12">
        <f t="shared" si="1"/>
        <v>0.05</v>
      </c>
      <c r="O76" s="12">
        <f>PRODUCT(N76,C8)</f>
        <v>5.6999999999999995E-2</v>
      </c>
      <c r="P76" s="34">
        <f>SUM(C8,O76)</f>
        <v>1.1969999999999998</v>
      </c>
      <c r="Q76" s="36">
        <f>PRODUCT(J8,P76)</f>
        <v>1793.1059999999998</v>
      </c>
    </row>
    <row r="77" spans="2:17" x14ac:dyDescent="0.3">
      <c r="B77" s="95">
        <v>64</v>
      </c>
      <c r="C77" s="5"/>
      <c r="D77" s="237" t="s">
        <v>38</v>
      </c>
      <c r="E77" s="238"/>
      <c r="F77" s="71">
        <v>7</v>
      </c>
      <c r="G77" s="12">
        <v>0.01</v>
      </c>
      <c r="H77" s="12">
        <f t="shared" si="0"/>
        <v>7.0000000000000007E-2</v>
      </c>
      <c r="I77" s="12">
        <f>PRODUCT(H77,C6)</f>
        <v>9.079000000000001E-2</v>
      </c>
      <c r="J77" s="34">
        <f>SUM(C6,I77)</f>
        <v>1.3877899999999999</v>
      </c>
      <c r="K77" s="38">
        <f>PRODUCT(J8,J77)</f>
        <v>2078.90942</v>
      </c>
      <c r="L77" s="71">
        <v>5</v>
      </c>
      <c r="M77" s="12">
        <v>0.01</v>
      </c>
      <c r="N77" s="12">
        <f t="shared" si="1"/>
        <v>0.05</v>
      </c>
      <c r="O77" s="12">
        <f>PRODUCT(N77,C8)</f>
        <v>5.6999999999999995E-2</v>
      </c>
      <c r="P77" s="34">
        <f>SUM(C8,O77)</f>
        <v>1.1969999999999998</v>
      </c>
      <c r="Q77" s="36">
        <f>PRODUCT(J8,P77)</f>
        <v>1793.1059999999998</v>
      </c>
    </row>
    <row r="78" spans="2:17" x14ac:dyDescent="0.3">
      <c r="B78" s="95">
        <v>65</v>
      </c>
      <c r="C78" s="5"/>
      <c r="D78" s="237" t="s">
        <v>58</v>
      </c>
      <c r="E78" s="238"/>
      <c r="F78" s="71">
        <v>6</v>
      </c>
      <c r="G78" s="12">
        <v>0.01</v>
      </c>
      <c r="H78" s="12">
        <f t="shared" si="0"/>
        <v>0.06</v>
      </c>
      <c r="I78" s="12">
        <f>PRODUCT(H78,C6)</f>
        <v>7.7819999999999986E-2</v>
      </c>
      <c r="J78" s="34">
        <f>SUM(C6,I78)</f>
        <v>1.3748199999999999</v>
      </c>
      <c r="K78" s="38">
        <f>PRODUCT(J8,J78)</f>
        <v>2059.48036</v>
      </c>
      <c r="L78" s="71">
        <v>2</v>
      </c>
      <c r="M78" s="12">
        <v>0.01</v>
      </c>
      <c r="N78" s="12">
        <f t="shared" si="1"/>
        <v>0.02</v>
      </c>
      <c r="O78" s="12">
        <f>PRODUCT(N78,C8)</f>
        <v>2.2799999999999997E-2</v>
      </c>
      <c r="P78" s="34">
        <f>SUM(C8,O78)</f>
        <v>1.1627999999999998</v>
      </c>
      <c r="Q78" s="36">
        <f>PRODUCT(J8,P78)</f>
        <v>1741.8743999999997</v>
      </c>
    </row>
    <row r="79" spans="2:17" x14ac:dyDescent="0.3">
      <c r="B79" s="95">
        <v>66</v>
      </c>
      <c r="C79" s="5"/>
      <c r="D79" s="237" t="s">
        <v>39</v>
      </c>
      <c r="E79" s="238"/>
      <c r="F79" s="71">
        <v>10</v>
      </c>
      <c r="G79" s="12">
        <v>0.01</v>
      </c>
      <c r="H79" s="12">
        <f t="shared" ref="H79:H113" si="2">PRODUCT(F79,G79)</f>
        <v>0.1</v>
      </c>
      <c r="I79" s="12">
        <f>PRODUCT(H79,C6)</f>
        <v>0.12970000000000001</v>
      </c>
      <c r="J79" s="34">
        <f>SUM(C6,I79)</f>
        <v>1.4266999999999999</v>
      </c>
      <c r="K79" s="38">
        <f>PRODUCT(J8,J79)</f>
        <v>2137.1965999999998</v>
      </c>
      <c r="L79" s="71">
        <v>6</v>
      </c>
      <c r="M79" s="12">
        <v>0.01</v>
      </c>
      <c r="N79" s="12">
        <f t="shared" ref="N79:N113" si="3">PRODUCT(L79,M79)</f>
        <v>0.06</v>
      </c>
      <c r="O79" s="12">
        <f>PRODUCT(N79,C8)</f>
        <v>6.8399999999999989E-2</v>
      </c>
      <c r="P79" s="34">
        <f>SUM(C8,O79)</f>
        <v>1.2083999999999999</v>
      </c>
      <c r="Q79" s="36">
        <f>PRODUCT(J8,P79)</f>
        <v>1810.1831999999999</v>
      </c>
    </row>
    <row r="80" spans="2:17" x14ac:dyDescent="0.3">
      <c r="B80" s="95">
        <v>67</v>
      </c>
      <c r="C80" s="5"/>
      <c r="D80" s="237" t="s">
        <v>54</v>
      </c>
      <c r="E80" s="238"/>
      <c r="F80" s="71">
        <v>12</v>
      </c>
      <c r="G80" s="12">
        <v>0.01</v>
      </c>
      <c r="H80" s="12">
        <f t="shared" si="2"/>
        <v>0.12</v>
      </c>
      <c r="I80" s="12">
        <f>PRODUCT(H80,C6)</f>
        <v>0.15563999999999997</v>
      </c>
      <c r="J80" s="34">
        <f>SUM(C6,I80)</f>
        <v>1.4526399999999999</v>
      </c>
      <c r="K80" s="38">
        <f>PRODUCT(J8,J80)</f>
        <v>2176.0547200000001</v>
      </c>
      <c r="L80" s="71">
        <v>8</v>
      </c>
      <c r="M80" s="12">
        <v>0.01</v>
      </c>
      <c r="N80" s="12">
        <f t="shared" si="3"/>
        <v>0.08</v>
      </c>
      <c r="O80" s="12">
        <f>PRODUCT(N80,C8)</f>
        <v>9.1199999999999989E-2</v>
      </c>
      <c r="P80" s="34">
        <f>SUM(C8,O80)</f>
        <v>1.2311999999999999</v>
      </c>
      <c r="Q80" s="36">
        <f>PRODUCT(J8,P80)</f>
        <v>1844.3375999999998</v>
      </c>
    </row>
    <row r="81" spans="2:17" x14ac:dyDescent="0.3">
      <c r="B81" s="95">
        <v>68</v>
      </c>
      <c r="C81" s="5"/>
      <c r="D81" s="237" t="s">
        <v>40</v>
      </c>
      <c r="E81" s="238"/>
      <c r="F81" s="71">
        <v>8</v>
      </c>
      <c r="G81" s="12">
        <v>0.01</v>
      </c>
      <c r="H81" s="12">
        <f t="shared" si="2"/>
        <v>0.08</v>
      </c>
      <c r="I81" s="12">
        <f>PRODUCT(H81,C6)</f>
        <v>0.10375999999999999</v>
      </c>
      <c r="J81" s="34">
        <f>SUM(C6,I81)</f>
        <v>1.40076</v>
      </c>
      <c r="K81" s="38">
        <f>PRODUCT(J8,J81)</f>
        <v>2098.3384799999999</v>
      </c>
      <c r="L81" s="71">
        <v>5</v>
      </c>
      <c r="M81" s="12">
        <v>0.01</v>
      </c>
      <c r="N81" s="12">
        <f t="shared" si="3"/>
        <v>0.05</v>
      </c>
      <c r="O81" s="12">
        <f>PRODUCT(N81,C8)</f>
        <v>5.6999999999999995E-2</v>
      </c>
      <c r="P81" s="34">
        <f>SUM(C8,O81)</f>
        <v>1.1969999999999998</v>
      </c>
      <c r="Q81" s="36">
        <f>PRODUCT(J8,P81)</f>
        <v>1793.1059999999998</v>
      </c>
    </row>
    <row r="82" spans="2:17" x14ac:dyDescent="0.3">
      <c r="B82" s="95">
        <v>69</v>
      </c>
      <c r="C82" s="5"/>
      <c r="D82" s="239" t="s">
        <v>41</v>
      </c>
      <c r="E82" s="240"/>
      <c r="F82" s="71">
        <v>23</v>
      </c>
      <c r="G82" s="12">
        <v>0.01</v>
      </c>
      <c r="H82" s="12">
        <f t="shared" si="2"/>
        <v>0.23</v>
      </c>
      <c r="I82" s="12">
        <f>PRODUCT(H82,C6)</f>
        <v>0.29831000000000002</v>
      </c>
      <c r="J82" s="34">
        <f>SUM(C6,I82)</f>
        <v>1.59531</v>
      </c>
      <c r="K82" s="38">
        <f>PRODUCT(J8,J82)</f>
        <v>2389.7743799999998</v>
      </c>
      <c r="L82" s="71">
        <v>19</v>
      </c>
      <c r="M82" s="12">
        <v>0.01</v>
      </c>
      <c r="N82" s="12">
        <f t="shared" si="3"/>
        <v>0.19</v>
      </c>
      <c r="O82" s="12">
        <f>PRODUCT(N82,C8)</f>
        <v>0.21659999999999999</v>
      </c>
      <c r="P82" s="34">
        <f>SUM(C8,O82)</f>
        <v>1.3565999999999998</v>
      </c>
      <c r="Q82" s="36">
        <f>PRODUCT(J8,P82)</f>
        <v>2032.1867999999997</v>
      </c>
    </row>
    <row r="83" spans="2:17" x14ac:dyDescent="0.3">
      <c r="B83" s="95">
        <v>70</v>
      </c>
      <c r="C83" s="5"/>
      <c r="D83" s="239" t="s">
        <v>185</v>
      </c>
      <c r="E83" s="240"/>
      <c r="F83" s="71">
        <v>10</v>
      </c>
      <c r="G83" s="12">
        <v>0.01</v>
      </c>
      <c r="H83" s="12">
        <f t="shared" si="2"/>
        <v>0.1</v>
      </c>
      <c r="I83" s="12">
        <f>PRODUCT(H83,C6)</f>
        <v>0.12970000000000001</v>
      </c>
      <c r="J83" s="34">
        <f>SUM(C6,I83)</f>
        <v>1.4266999999999999</v>
      </c>
      <c r="K83" s="38">
        <f>PRODUCT(J8,J83)</f>
        <v>2137.1965999999998</v>
      </c>
      <c r="L83" s="71">
        <v>6</v>
      </c>
      <c r="M83" s="12">
        <v>0.01</v>
      </c>
      <c r="N83" s="12">
        <f t="shared" si="3"/>
        <v>0.06</v>
      </c>
      <c r="O83" s="12">
        <f>PRODUCT(N83,C8)</f>
        <v>6.8399999999999989E-2</v>
      </c>
      <c r="P83" s="34">
        <f>SUM(C8,O83)</f>
        <v>1.2083999999999999</v>
      </c>
      <c r="Q83" s="36">
        <f>PRODUCT(J8,P83)</f>
        <v>1810.1831999999999</v>
      </c>
    </row>
    <row r="84" spans="2:17" x14ac:dyDescent="0.3">
      <c r="B84" s="95">
        <v>71</v>
      </c>
      <c r="C84" s="5"/>
      <c r="D84" s="237" t="s">
        <v>178</v>
      </c>
      <c r="E84" s="238"/>
      <c r="F84" s="71">
        <v>8</v>
      </c>
      <c r="G84" s="12">
        <v>0.01</v>
      </c>
      <c r="H84" s="12">
        <f t="shared" si="2"/>
        <v>0.08</v>
      </c>
      <c r="I84" s="12">
        <f>PRODUCT(H84,C6)</f>
        <v>0.10375999999999999</v>
      </c>
      <c r="J84" s="34">
        <f>SUM(C6,I84)</f>
        <v>1.40076</v>
      </c>
      <c r="K84" s="38">
        <f>PRODUCT(J8,J84)</f>
        <v>2098.3384799999999</v>
      </c>
      <c r="L84" s="71">
        <v>6</v>
      </c>
      <c r="M84" s="12">
        <v>0.01</v>
      </c>
      <c r="N84" s="12">
        <f t="shared" si="3"/>
        <v>0.06</v>
      </c>
      <c r="O84" s="12">
        <f>PRODUCT(N84,C8)</f>
        <v>6.8399999999999989E-2</v>
      </c>
      <c r="P84" s="34">
        <f>SUM(C8,O84)</f>
        <v>1.2083999999999999</v>
      </c>
      <c r="Q84" s="36">
        <f>PRODUCT(J8,P84)</f>
        <v>1810.1831999999999</v>
      </c>
    </row>
    <row r="85" spans="2:17" x14ac:dyDescent="0.3">
      <c r="B85" s="95">
        <v>72</v>
      </c>
      <c r="C85" s="5"/>
      <c r="D85" s="237" t="s">
        <v>42</v>
      </c>
      <c r="E85" s="238"/>
      <c r="F85" s="71">
        <v>12</v>
      </c>
      <c r="G85" s="12">
        <v>0.01</v>
      </c>
      <c r="H85" s="12">
        <f t="shared" si="2"/>
        <v>0.12</v>
      </c>
      <c r="I85" s="12">
        <f>PRODUCT(H85,C6)</f>
        <v>0.15563999999999997</v>
      </c>
      <c r="J85" s="34">
        <f>SUM(C6,I85)</f>
        <v>1.4526399999999999</v>
      </c>
      <c r="K85" s="38">
        <f>PRODUCT(J8,J85)</f>
        <v>2176.0547200000001</v>
      </c>
      <c r="L85" s="71">
        <v>9</v>
      </c>
      <c r="M85" s="12">
        <v>0.01</v>
      </c>
      <c r="N85" s="12">
        <f t="shared" si="3"/>
        <v>0.09</v>
      </c>
      <c r="O85" s="12">
        <f>PRODUCT(N85,C8)</f>
        <v>0.10259999999999998</v>
      </c>
      <c r="P85" s="34">
        <f>SUM(C8,O85)</f>
        <v>1.2425999999999999</v>
      </c>
      <c r="Q85" s="36">
        <f>PRODUCT(J8,P85)</f>
        <v>1861.4147999999998</v>
      </c>
    </row>
    <row r="86" spans="2:17" x14ac:dyDescent="0.3">
      <c r="B86" s="95">
        <v>73</v>
      </c>
      <c r="C86" s="5"/>
      <c r="D86" s="237" t="s">
        <v>43</v>
      </c>
      <c r="E86" s="238"/>
      <c r="F86" s="71">
        <v>8</v>
      </c>
      <c r="G86" s="12">
        <v>0.01</v>
      </c>
      <c r="H86" s="12">
        <f t="shared" si="2"/>
        <v>0.08</v>
      </c>
      <c r="I86" s="12">
        <f>PRODUCT(H86,C6)</f>
        <v>0.10375999999999999</v>
      </c>
      <c r="J86" s="34">
        <f>SUM(C6,I86)</f>
        <v>1.40076</v>
      </c>
      <c r="K86" s="38">
        <f>PRODUCT(J8,J86)</f>
        <v>2098.3384799999999</v>
      </c>
      <c r="L86" s="71">
        <v>5</v>
      </c>
      <c r="M86" s="12">
        <v>0.01</v>
      </c>
      <c r="N86" s="12">
        <f t="shared" si="3"/>
        <v>0.05</v>
      </c>
      <c r="O86" s="12">
        <f>PRODUCT(N86,C8)</f>
        <v>5.6999999999999995E-2</v>
      </c>
      <c r="P86" s="34">
        <f>SUM(C8,O86)</f>
        <v>1.1969999999999998</v>
      </c>
      <c r="Q86" s="36">
        <f>PRODUCT(J8,P86)</f>
        <v>1793.1059999999998</v>
      </c>
    </row>
    <row r="87" spans="2:17" x14ac:dyDescent="0.3">
      <c r="B87" s="95">
        <v>74</v>
      </c>
      <c r="C87" s="5"/>
      <c r="D87" s="237" t="s">
        <v>225</v>
      </c>
      <c r="E87" s="238"/>
      <c r="F87" s="71">
        <v>10</v>
      </c>
      <c r="G87" s="12">
        <v>0.01</v>
      </c>
      <c r="H87" s="12">
        <f t="shared" si="2"/>
        <v>0.1</v>
      </c>
      <c r="I87" s="12">
        <f>PRODUCT(H87,C6)</f>
        <v>0.12970000000000001</v>
      </c>
      <c r="J87" s="34">
        <f>SUM(C6,I87)</f>
        <v>1.4266999999999999</v>
      </c>
      <c r="K87" s="38">
        <f>PRODUCT(J8,J87)</f>
        <v>2137.1965999999998</v>
      </c>
      <c r="L87" s="71">
        <v>6</v>
      </c>
      <c r="M87" s="12">
        <v>0.01</v>
      </c>
      <c r="N87" s="12">
        <f t="shared" si="3"/>
        <v>0.06</v>
      </c>
      <c r="O87" s="12">
        <f>PRODUCT(N87,C8)</f>
        <v>6.8399999999999989E-2</v>
      </c>
      <c r="P87" s="34">
        <f>SUM(C8,O87)</f>
        <v>1.2083999999999999</v>
      </c>
      <c r="Q87" s="36">
        <f>PRODUCT(J8,P87)</f>
        <v>1810.1831999999999</v>
      </c>
    </row>
    <row r="88" spans="2:17" x14ac:dyDescent="0.3">
      <c r="B88" s="95">
        <v>75</v>
      </c>
      <c r="C88" s="5"/>
      <c r="D88" s="239" t="s">
        <v>44</v>
      </c>
      <c r="E88" s="240"/>
      <c r="F88" s="71">
        <v>24</v>
      </c>
      <c r="G88" s="12">
        <v>0.01</v>
      </c>
      <c r="H88" s="12">
        <f t="shared" si="2"/>
        <v>0.24</v>
      </c>
      <c r="I88" s="12">
        <f>PRODUCT(H88,C6)</f>
        <v>0.31127999999999995</v>
      </c>
      <c r="J88" s="34">
        <f>SUM(C6,I88)</f>
        <v>1.6082799999999999</v>
      </c>
      <c r="K88" s="38">
        <f>PRODUCT(J8,J88)</f>
        <v>2409.2034399999998</v>
      </c>
      <c r="L88" s="71">
        <v>20</v>
      </c>
      <c r="M88" s="12">
        <v>0.01</v>
      </c>
      <c r="N88" s="12">
        <f t="shared" si="3"/>
        <v>0.2</v>
      </c>
      <c r="O88" s="12">
        <f>PRODUCT(N88,C8)</f>
        <v>0.22799999999999998</v>
      </c>
      <c r="P88" s="34">
        <f>SUM(C8,O88)</f>
        <v>1.3679999999999999</v>
      </c>
      <c r="Q88" s="36">
        <f>PRODUCT(J8,P88)</f>
        <v>2049.2639999999997</v>
      </c>
    </row>
    <row r="89" spans="2:17" x14ac:dyDescent="0.3">
      <c r="B89" s="95">
        <v>76</v>
      </c>
      <c r="C89" s="5"/>
      <c r="D89" s="237" t="s">
        <v>199</v>
      </c>
      <c r="E89" s="238"/>
      <c r="F89" s="71">
        <v>12</v>
      </c>
      <c r="G89" s="12">
        <v>0.01</v>
      </c>
      <c r="H89" s="12">
        <f t="shared" si="2"/>
        <v>0.12</v>
      </c>
      <c r="I89" s="12">
        <f>PRODUCT(H89,C6)</f>
        <v>0.15563999999999997</v>
      </c>
      <c r="J89" s="34">
        <f>SUM(C6,I89)</f>
        <v>1.4526399999999999</v>
      </c>
      <c r="K89" s="38">
        <f>PRODUCT(J8,J89)</f>
        <v>2176.0547200000001</v>
      </c>
      <c r="L89" s="71">
        <v>8</v>
      </c>
      <c r="M89" s="12">
        <v>0.01</v>
      </c>
      <c r="N89" s="12">
        <f t="shared" si="3"/>
        <v>0.08</v>
      </c>
      <c r="O89" s="12">
        <f>PRODUCT(N89,C8)</f>
        <v>9.1199999999999989E-2</v>
      </c>
      <c r="P89" s="34">
        <f>SUM(C8,O89)</f>
        <v>1.2311999999999999</v>
      </c>
      <c r="Q89" s="36">
        <f>PRODUCT(J8,P89)</f>
        <v>1844.3375999999998</v>
      </c>
    </row>
    <row r="90" spans="2:17" x14ac:dyDescent="0.3">
      <c r="B90" s="95">
        <v>77</v>
      </c>
      <c r="C90" s="5"/>
      <c r="D90" s="239" t="s">
        <v>52</v>
      </c>
      <c r="E90" s="240"/>
      <c r="F90" s="71">
        <v>23</v>
      </c>
      <c r="G90" s="12">
        <v>0.01</v>
      </c>
      <c r="H90" s="12">
        <f t="shared" si="2"/>
        <v>0.23</v>
      </c>
      <c r="I90" s="12">
        <f>PRODUCT(H90,C6)</f>
        <v>0.29831000000000002</v>
      </c>
      <c r="J90" s="34">
        <f>SUM(C6,I90)</f>
        <v>1.59531</v>
      </c>
      <c r="K90" s="38">
        <f>PRODUCT(J8,J90)</f>
        <v>2389.7743799999998</v>
      </c>
      <c r="L90" s="71">
        <v>20</v>
      </c>
      <c r="M90" s="12">
        <v>0.01</v>
      </c>
      <c r="N90" s="12">
        <f t="shared" si="3"/>
        <v>0.2</v>
      </c>
      <c r="O90" s="12">
        <f>PRODUCT(N90,C8)</f>
        <v>0.22799999999999998</v>
      </c>
      <c r="P90" s="34">
        <f>SUM(C8,O90)</f>
        <v>1.3679999999999999</v>
      </c>
      <c r="Q90" s="36">
        <f>PRODUCT(J8,P90)</f>
        <v>2049.2639999999997</v>
      </c>
    </row>
    <row r="91" spans="2:17" x14ac:dyDescent="0.3">
      <c r="B91" s="95">
        <v>78</v>
      </c>
      <c r="C91" s="5"/>
      <c r="D91" s="239" t="s">
        <v>45</v>
      </c>
      <c r="E91" s="240"/>
      <c r="F91" s="71">
        <v>19.5</v>
      </c>
      <c r="G91" s="12">
        <v>0.01</v>
      </c>
      <c r="H91" s="12">
        <f t="shared" si="2"/>
        <v>0.19500000000000001</v>
      </c>
      <c r="I91" s="12">
        <f>PRODUCT(H91,C6)</f>
        <v>0.252915</v>
      </c>
      <c r="J91" s="34">
        <f>SUM(C6,I91)</f>
        <v>1.5499149999999999</v>
      </c>
      <c r="K91" s="38">
        <f>PRODUCT(J8,J91)</f>
        <v>2321.7726699999998</v>
      </c>
      <c r="L91" s="71">
        <v>17</v>
      </c>
      <c r="M91" s="12">
        <v>0.01</v>
      </c>
      <c r="N91" s="12">
        <f t="shared" si="3"/>
        <v>0.17</v>
      </c>
      <c r="O91" s="12">
        <f>PRODUCT(N91,C8)</f>
        <v>0.1938</v>
      </c>
      <c r="P91" s="34">
        <f>SUM(C8,O91)</f>
        <v>1.3337999999999999</v>
      </c>
      <c r="Q91" s="36">
        <f>PRODUCT(J8,P91)</f>
        <v>1998.0323999999998</v>
      </c>
    </row>
    <row r="92" spans="2:17" x14ac:dyDescent="0.3">
      <c r="B92" s="95">
        <v>79</v>
      </c>
      <c r="C92" s="5"/>
      <c r="D92" s="239" t="s">
        <v>63</v>
      </c>
      <c r="E92" s="240"/>
      <c r="F92" s="71">
        <v>7</v>
      </c>
      <c r="G92" s="12">
        <v>0.01</v>
      </c>
      <c r="H92" s="12">
        <f t="shared" si="2"/>
        <v>7.0000000000000007E-2</v>
      </c>
      <c r="I92" s="12">
        <f>PRODUCT(H92,C6)</f>
        <v>9.079000000000001E-2</v>
      </c>
      <c r="J92" s="34">
        <f>SUM(C6,I92)</f>
        <v>1.3877899999999999</v>
      </c>
      <c r="K92" s="38">
        <f>PRODUCT(J8,J92)</f>
        <v>2078.90942</v>
      </c>
      <c r="L92" s="71">
        <v>5</v>
      </c>
      <c r="M92" s="12">
        <v>0.01</v>
      </c>
      <c r="N92" s="12">
        <f t="shared" si="3"/>
        <v>0.05</v>
      </c>
      <c r="O92" s="12">
        <f>PRODUCT(N92,C8)</f>
        <v>5.6999999999999995E-2</v>
      </c>
      <c r="P92" s="34">
        <f>SUM(C8,O92)</f>
        <v>1.1969999999999998</v>
      </c>
      <c r="Q92" s="36">
        <f>PRODUCT(J8,P92)</f>
        <v>1793.1059999999998</v>
      </c>
    </row>
    <row r="93" spans="2:17" x14ac:dyDescent="0.3">
      <c r="B93" s="95">
        <v>80</v>
      </c>
      <c r="C93" s="5"/>
      <c r="D93" s="239" t="s">
        <v>52</v>
      </c>
      <c r="E93" s="240"/>
      <c r="F93" s="71">
        <v>23</v>
      </c>
      <c r="G93" s="12">
        <v>0.01</v>
      </c>
      <c r="H93" s="12">
        <f t="shared" si="2"/>
        <v>0.23</v>
      </c>
      <c r="I93" s="12">
        <f>PRODUCT(H93,C6)</f>
        <v>0.29831000000000002</v>
      </c>
      <c r="J93" s="34">
        <f>SUM(C6,I93)</f>
        <v>1.59531</v>
      </c>
      <c r="K93" s="38">
        <f>PRODUCT(J8,J93)</f>
        <v>2389.7743799999998</v>
      </c>
      <c r="L93" s="71">
        <v>19</v>
      </c>
      <c r="M93" s="12">
        <v>0.01</v>
      </c>
      <c r="N93" s="12">
        <f t="shared" si="3"/>
        <v>0.19</v>
      </c>
      <c r="O93" s="12">
        <f>PRODUCT(N93,C8)</f>
        <v>0.21659999999999999</v>
      </c>
      <c r="P93" s="34">
        <f>SUM(C8,O93)</f>
        <v>1.3565999999999998</v>
      </c>
      <c r="Q93" s="36">
        <f>PRODUCT(J8,P93)</f>
        <v>2032.1867999999997</v>
      </c>
    </row>
    <row r="94" spans="2:17" x14ac:dyDescent="0.3">
      <c r="B94" s="95">
        <v>81</v>
      </c>
      <c r="C94" s="5"/>
      <c r="D94" s="239" t="s">
        <v>188</v>
      </c>
      <c r="E94" s="240"/>
      <c r="F94" s="71">
        <v>8</v>
      </c>
      <c r="G94" s="12">
        <v>0.01</v>
      </c>
      <c r="H94" s="12">
        <f t="shared" si="2"/>
        <v>0.08</v>
      </c>
      <c r="I94" s="12">
        <f>PRODUCT(H94,C6)</f>
        <v>0.10375999999999999</v>
      </c>
      <c r="J94" s="34">
        <f>SUM(C6,I94)</f>
        <v>1.40076</v>
      </c>
      <c r="K94" s="38">
        <f>PRODUCT(J8,J94)</f>
        <v>2098.3384799999999</v>
      </c>
      <c r="L94" s="71">
        <v>3</v>
      </c>
      <c r="M94" s="12">
        <v>0.01</v>
      </c>
      <c r="N94" s="12">
        <f t="shared" si="3"/>
        <v>0.03</v>
      </c>
      <c r="O94" s="12">
        <f>PRODUCT(N94,C8)</f>
        <v>3.4199999999999994E-2</v>
      </c>
      <c r="P94" s="34">
        <f>SUM(C8,O94)</f>
        <v>1.1741999999999999</v>
      </c>
      <c r="Q94" s="36">
        <f>PRODUCT(J8,P94)</f>
        <v>1758.9515999999999</v>
      </c>
    </row>
    <row r="95" spans="2:17" x14ac:dyDescent="0.3">
      <c r="B95" s="95">
        <v>82</v>
      </c>
      <c r="C95" s="5"/>
      <c r="D95" s="239" t="s">
        <v>46</v>
      </c>
      <c r="E95" s="240"/>
      <c r="F95" s="71">
        <v>23</v>
      </c>
      <c r="G95" s="12">
        <v>0.01</v>
      </c>
      <c r="H95" s="12">
        <f t="shared" si="2"/>
        <v>0.23</v>
      </c>
      <c r="I95" s="12">
        <f>PRODUCT(H95,C6)</f>
        <v>0.29831000000000002</v>
      </c>
      <c r="J95" s="34">
        <f>SUM(C6,I95)</f>
        <v>1.59531</v>
      </c>
      <c r="K95" s="38">
        <f>PRODUCT(J8,J95)</f>
        <v>2389.7743799999998</v>
      </c>
      <c r="L95" s="71">
        <v>19</v>
      </c>
      <c r="M95" s="12">
        <v>0.01</v>
      </c>
      <c r="N95" s="12">
        <f t="shared" si="3"/>
        <v>0.19</v>
      </c>
      <c r="O95" s="12">
        <f>PRODUCT(N95,C8)</f>
        <v>0.21659999999999999</v>
      </c>
      <c r="P95" s="34">
        <f>SUM(C8,O95)</f>
        <v>1.3565999999999998</v>
      </c>
      <c r="Q95" s="36">
        <f>PRODUCT(J8,P95)</f>
        <v>2032.1867999999997</v>
      </c>
    </row>
    <row r="96" spans="2:17" x14ac:dyDescent="0.3">
      <c r="B96" s="95">
        <v>83</v>
      </c>
      <c r="C96" s="5"/>
      <c r="D96" s="239" t="s">
        <v>52</v>
      </c>
      <c r="E96" s="240"/>
      <c r="F96" s="71">
        <v>22</v>
      </c>
      <c r="G96" s="12">
        <v>0.01</v>
      </c>
      <c r="H96" s="12">
        <f t="shared" si="2"/>
        <v>0.22</v>
      </c>
      <c r="I96" s="12">
        <f>PRODUCT(H96,C6)</f>
        <v>0.28533999999999998</v>
      </c>
      <c r="J96" s="34">
        <f>SUM(C6,I96)</f>
        <v>1.5823399999999999</v>
      </c>
      <c r="K96" s="38">
        <f>PRODUCT(J8,J96)</f>
        <v>2370.3453199999999</v>
      </c>
      <c r="L96" s="71">
        <v>19</v>
      </c>
      <c r="M96" s="12">
        <v>0.01</v>
      </c>
      <c r="N96" s="12">
        <f t="shared" si="3"/>
        <v>0.19</v>
      </c>
      <c r="O96" s="12">
        <f>PRODUCT(N96,C8)</f>
        <v>0.21659999999999999</v>
      </c>
      <c r="P96" s="34">
        <f>SUM(C8,O96)</f>
        <v>1.3565999999999998</v>
      </c>
      <c r="Q96" s="36">
        <f>PRODUCT(J8,P96)</f>
        <v>2032.1867999999997</v>
      </c>
    </row>
    <row r="97" spans="2:17" x14ac:dyDescent="0.3">
      <c r="B97" s="95">
        <v>84</v>
      </c>
      <c r="C97" s="5"/>
      <c r="D97" s="239" t="s">
        <v>171</v>
      </c>
      <c r="E97" s="240"/>
      <c r="F97" s="71">
        <v>8</v>
      </c>
      <c r="G97" s="12">
        <v>0.01</v>
      </c>
      <c r="H97" s="12">
        <f t="shared" si="2"/>
        <v>0.08</v>
      </c>
      <c r="I97" s="12">
        <f>PRODUCT(H97,C6)</f>
        <v>0.10375999999999999</v>
      </c>
      <c r="J97" s="34">
        <f>SUM(C6,I97)</f>
        <v>1.40076</v>
      </c>
      <c r="K97" s="38">
        <f>PRODUCT(J8,J97)</f>
        <v>2098.3384799999999</v>
      </c>
      <c r="L97" s="71">
        <v>5</v>
      </c>
      <c r="M97" s="12">
        <v>0.01</v>
      </c>
      <c r="N97" s="12">
        <f t="shared" si="3"/>
        <v>0.05</v>
      </c>
      <c r="O97" s="12">
        <f>PRODUCT(N97,C8)</f>
        <v>5.6999999999999995E-2</v>
      </c>
      <c r="P97" s="34">
        <f>SUM(C8,O97)</f>
        <v>1.1969999999999998</v>
      </c>
      <c r="Q97" s="36">
        <f>PRODUCT(J8,P97)</f>
        <v>1793.1059999999998</v>
      </c>
    </row>
    <row r="98" spans="2:17" x14ac:dyDescent="0.3">
      <c r="B98" s="95">
        <v>85</v>
      </c>
      <c r="C98" s="5"/>
      <c r="D98" s="239" t="s">
        <v>93</v>
      </c>
      <c r="E98" s="240"/>
      <c r="F98" s="71">
        <v>22</v>
      </c>
      <c r="G98" s="12">
        <v>0.01</v>
      </c>
      <c r="H98" s="12">
        <f t="shared" si="2"/>
        <v>0.22</v>
      </c>
      <c r="I98" s="12">
        <f>PRODUCT(H98,C6)</f>
        <v>0.28533999999999998</v>
      </c>
      <c r="J98" s="34">
        <f>SUM(C6,I98)</f>
        <v>1.5823399999999999</v>
      </c>
      <c r="K98" s="38">
        <f>PRODUCT(J8,J98)</f>
        <v>2370.3453199999999</v>
      </c>
      <c r="L98" s="71">
        <v>21</v>
      </c>
      <c r="M98" s="12">
        <v>0.01</v>
      </c>
      <c r="N98" s="12">
        <f t="shared" si="3"/>
        <v>0.21</v>
      </c>
      <c r="O98" s="12">
        <f>PRODUCT(N98,C8)</f>
        <v>0.23939999999999997</v>
      </c>
      <c r="P98" s="34">
        <f>SUM(C8,O98)</f>
        <v>1.3794</v>
      </c>
      <c r="Q98" s="36">
        <f>PRODUCT(J8,P98)</f>
        <v>2066.3411999999998</v>
      </c>
    </row>
    <row r="99" spans="2:17" x14ac:dyDescent="0.3">
      <c r="B99" s="95">
        <v>86</v>
      </c>
      <c r="C99" s="5"/>
      <c r="D99" s="237" t="s">
        <v>47</v>
      </c>
      <c r="E99" s="238"/>
      <c r="F99" s="71">
        <v>8</v>
      </c>
      <c r="G99" s="12">
        <v>0.01</v>
      </c>
      <c r="H99" s="12">
        <f t="shared" si="2"/>
        <v>0.08</v>
      </c>
      <c r="I99" s="12">
        <f>PRODUCT(H99,C6)</f>
        <v>0.10375999999999999</v>
      </c>
      <c r="J99" s="34">
        <f>SUM(C6,I99)</f>
        <v>1.40076</v>
      </c>
      <c r="K99" s="38">
        <f>PRODUCT(J8,J99)</f>
        <v>2098.3384799999999</v>
      </c>
      <c r="L99" s="71">
        <v>6</v>
      </c>
      <c r="M99" s="12">
        <v>0.01</v>
      </c>
      <c r="N99" s="12">
        <f t="shared" si="3"/>
        <v>0.06</v>
      </c>
      <c r="O99" s="12">
        <f>PRODUCT(N99,C8)</f>
        <v>6.8399999999999989E-2</v>
      </c>
      <c r="P99" s="34">
        <f>SUM(C8,O99)</f>
        <v>1.2083999999999999</v>
      </c>
      <c r="Q99" s="36">
        <f>PRODUCT(J8,P99)</f>
        <v>1810.1831999999999</v>
      </c>
    </row>
    <row r="100" spans="2:17" x14ac:dyDescent="0.3">
      <c r="B100" s="95">
        <v>87</v>
      </c>
      <c r="C100" s="5"/>
      <c r="D100" s="237" t="s">
        <v>48</v>
      </c>
      <c r="E100" s="238"/>
      <c r="F100" s="71">
        <v>12</v>
      </c>
      <c r="G100" s="12">
        <v>0.01</v>
      </c>
      <c r="H100" s="12">
        <f t="shared" si="2"/>
        <v>0.12</v>
      </c>
      <c r="I100" s="12">
        <f>PRODUCT(H100,C6)</f>
        <v>0.15563999999999997</v>
      </c>
      <c r="J100" s="34">
        <f>SUM(C6,I100)</f>
        <v>1.4526399999999999</v>
      </c>
      <c r="K100" s="38">
        <f>PRODUCT(J8,J100)</f>
        <v>2176.0547200000001</v>
      </c>
      <c r="L100" s="71">
        <v>9</v>
      </c>
      <c r="M100" s="12">
        <v>0.01</v>
      </c>
      <c r="N100" s="12">
        <f t="shared" si="3"/>
        <v>0.09</v>
      </c>
      <c r="O100" s="12">
        <f>PRODUCT(N100,C8)</f>
        <v>0.10259999999999998</v>
      </c>
      <c r="P100" s="34">
        <f>SUM(C8,O100)</f>
        <v>1.2425999999999999</v>
      </c>
      <c r="Q100" s="36">
        <f>PRODUCT(J8,P100)</f>
        <v>1861.4147999999998</v>
      </c>
    </row>
    <row r="101" spans="2:17" x14ac:dyDescent="0.3">
      <c r="B101" s="95">
        <v>88</v>
      </c>
      <c r="C101" s="5"/>
      <c r="D101" s="237" t="s">
        <v>49</v>
      </c>
      <c r="E101" s="238"/>
      <c r="F101" s="71">
        <v>10</v>
      </c>
      <c r="G101" s="12">
        <v>0.01</v>
      </c>
      <c r="H101" s="12">
        <f t="shared" si="2"/>
        <v>0.1</v>
      </c>
      <c r="I101" s="12">
        <f>PRODUCT(H101,C6)</f>
        <v>0.12970000000000001</v>
      </c>
      <c r="J101" s="34">
        <f>SUM(C6,I101)</f>
        <v>1.4266999999999999</v>
      </c>
      <c r="K101" s="38">
        <f>PRODUCT(J8,J101)</f>
        <v>2137.1965999999998</v>
      </c>
      <c r="L101" s="71">
        <v>8</v>
      </c>
      <c r="M101" s="12">
        <v>0.01</v>
      </c>
      <c r="N101" s="12">
        <f t="shared" si="3"/>
        <v>0.08</v>
      </c>
      <c r="O101" s="12">
        <f>PRODUCT(N101,C8)</f>
        <v>9.1199999999999989E-2</v>
      </c>
      <c r="P101" s="34">
        <f>SUM(C8,O101)</f>
        <v>1.2311999999999999</v>
      </c>
      <c r="Q101" s="36">
        <f>PRODUCT(J8,P101)</f>
        <v>1844.3375999999998</v>
      </c>
    </row>
    <row r="102" spans="2:17" x14ac:dyDescent="0.3">
      <c r="B102" s="95">
        <v>89</v>
      </c>
      <c r="C102" s="5"/>
      <c r="D102" s="239" t="s">
        <v>50</v>
      </c>
      <c r="E102" s="240"/>
      <c r="F102" s="71">
        <v>25</v>
      </c>
      <c r="G102" s="12">
        <v>0.01</v>
      </c>
      <c r="H102" s="12">
        <f t="shared" si="2"/>
        <v>0.25</v>
      </c>
      <c r="I102" s="12">
        <f>PRODUCT(H102,C6)</f>
        <v>0.32424999999999998</v>
      </c>
      <c r="J102" s="34">
        <f>SUM(C6,I102)</f>
        <v>1.6212499999999999</v>
      </c>
      <c r="K102" s="38">
        <f>PRODUCT(J8,J102)</f>
        <v>2428.6324999999997</v>
      </c>
      <c r="L102" s="71">
        <v>19</v>
      </c>
      <c r="M102" s="12">
        <v>0.01</v>
      </c>
      <c r="N102" s="12">
        <f t="shared" si="3"/>
        <v>0.19</v>
      </c>
      <c r="O102" s="12">
        <f>PRODUCT(N102,C8)</f>
        <v>0.21659999999999999</v>
      </c>
      <c r="P102" s="34">
        <f>SUM(C8,O102)</f>
        <v>1.3565999999999998</v>
      </c>
      <c r="Q102" s="36">
        <f>PRODUCT(J8,P102)</f>
        <v>2032.1867999999997</v>
      </c>
    </row>
    <row r="103" spans="2:17" x14ac:dyDescent="0.3">
      <c r="B103" s="95">
        <v>90</v>
      </c>
      <c r="C103" s="5"/>
      <c r="D103" s="237" t="s">
        <v>163</v>
      </c>
      <c r="E103" s="238"/>
      <c r="F103" s="71">
        <v>10</v>
      </c>
      <c r="G103" s="12">
        <v>0.01</v>
      </c>
      <c r="H103" s="12">
        <f t="shared" si="2"/>
        <v>0.1</v>
      </c>
      <c r="I103" s="12">
        <f>PRODUCT(H103,C6)</f>
        <v>0.12970000000000001</v>
      </c>
      <c r="J103" s="34">
        <f>SUM(C6,I103)</f>
        <v>1.4266999999999999</v>
      </c>
      <c r="K103" s="38">
        <f>PRODUCT(J8,J103)</f>
        <v>2137.1965999999998</v>
      </c>
      <c r="L103" s="71">
        <v>8</v>
      </c>
      <c r="M103" s="12">
        <v>0.01</v>
      </c>
      <c r="N103" s="12">
        <f t="shared" si="3"/>
        <v>0.08</v>
      </c>
      <c r="O103" s="12">
        <f>PRODUCT(N103,C8)</f>
        <v>9.1199999999999989E-2</v>
      </c>
      <c r="P103" s="34">
        <f>SUM(C8,O103)</f>
        <v>1.2311999999999999</v>
      </c>
      <c r="Q103" s="36">
        <f>PRODUCT(J8,P103)</f>
        <v>1844.3375999999998</v>
      </c>
    </row>
    <row r="104" spans="2:17" x14ac:dyDescent="0.3">
      <c r="B104" s="95">
        <v>91</v>
      </c>
      <c r="C104" s="5"/>
      <c r="D104" s="237" t="s">
        <v>195</v>
      </c>
      <c r="E104" s="238"/>
      <c r="F104" s="71">
        <v>7</v>
      </c>
      <c r="G104" s="12">
        <v>0.01</v>
      </c>
      <c r="H104" s="12">
        <f t="shared" si="2"/>
        <v>7.0000000000000007E-2</v>
      </c>
      <c r="I104" s="12">
        <f>PRODUCT(H104,C6)</f>
        <v>9.079000000000001E-2</v>
      </c>
      <c r="J104" s="34">
        <f>SUM(C6,I104)</f>
        <v>1.3877899999999999</v>
      </c>
      <c r="K104" s="38">
        <f>PRODUCT(J8,J104)</f>
        <v>2078.90942</v>
      </c>
      <c r="L104" s="71">
        <v>5</v>
      </c>
      <c r="M104" s="12">
        <v>0.01</v>
      </c>
      <c r="N104" s="12">
        <f t="shared" si="3"/>
        <v>0.05</v>
      </c>
      <c r="O104" s="12">
        <f>PRODUCT(N104,C8)</f>
        <v>5.6999999999999995E-2</v>
      </c>
      <c r="P104" s="34">
        <f>SUM(C8,O104)</f>
        <v>1.1969999999999998</v>
      </c>
      <c r="Q104" s="36">
        <f>PRODUCT(J8,P104)</f>
        <v>1793.1059999999998</v>
      </c>
    </row>
    <row r="105" spans="2:17" x14ac:dyDescent="0.3">
      <c r="B105" s="95">
        <v>92</v>
      </c>
      <c r="C105" s="5"/>
      <c r="D105" s="237" t="s">
        <v>99</v>
      </c>
      <c r="E105" s="238"/>
      <c r="F105" s="71">
        <v>12</v>
      </c>
      <c r="G105" s="12">
        <v>0.01</v>
      </c>
      <c r="H105" s="12">
        <f t="shared" si="2"/>
        <v>0.12</v>
      </c>
      <c r="I105" s="12">
        <f>PRODUCT(H105,C6)</f>
        <v>0.15563999999999997</v>
      </c>
      <c r="J105" s="34">
        <f>SUM(C6,I105)</f>
        <v>1.4526399999999999</v>
      </c>
      <c r="K105" s="38">
        <f>PRODUCT(J8,J105)</f>
        <v>2176.0547200000001</v>
      </c>
      <c r="L105" s="71">
        <v>7</v>
      </c>
      <c r="M105" s="12">
        <v>0.01</v>
      </c>
      <c r="N105" s="12">
        <f t="shared" si="3"/>
        <v>7.0000000000000007E-2</v>
      </c>
      <c r="O105" s="12">
        <f>PRODUCT(N105,C8)</f>
        <v>7.9799999999999996E-2</v>
      </c>
      <c r="P105" s="34">
        <f>SUM(C8,O105)</f>
        <v>1.2198</v>
      </c>
      <c r="Q105" s="36">
        <f>PRODUCT(J8,P105)</f>
        <v>1827.2603999999999</v>
      </c>
    </row>
    <row r="106" spans="2:17" x14ac:dyDescent="0.3">
      <c r="B106" s="95">
        <v>93</v>
      </c>
      <c r="C106" s="5"/>
      <c r="D106" s="239" t="s">
        <v>51</v>
      </c>
      <c r="E106" s="240"/>
      <c r="F106" s="71">
        <v>18.5</v>
      </c>
      <c r="G106" s="12">
        <v>0.01</v>
      </c>
      <c r="H106" s="12">
        <f t="shared" si="2"/>
        <v>0.185</v>
      </c>
      <c r="I106" s="12">
        <f>PRODUCT(H106,C6)</f>
        <v>0.23994499999999999</v>
      </c>
      <c r="J106" s="34">
        <f>SUM(C6,I106)</f>
        <v>1.536945</v>
      </c>
      <c r="K106" s="38">
        <f>PRODUCT(J8,J106)</f>
        <v>2302.3436099999999</v>
      </c>
      <c r="L106" s="71">
        <v>12</v>
      </c>
      <c r="M106" s="12">
        <v>0.01</v>
      </c>
      <c r="N106" s="12">
        <f t="shared" si="3"/>
        <v>0.12</v>
      </c>
      <c r="O106" s="12">
        <f>PRODUCT(N106,C8)</f>
        <v>0.13679999999999998</v>
      </c>
      <c r="P106" s="34">
        <f>SUM(C8,O106)</f>
        <v>1.2767999999999999</v>
      </c>
      <c r="Q106" s="36">
        <f>PRODUCT(J8,P106)</f>
        <v>1912.6463999999999</v>
      </c>
    </row>
    <row r="107" spans="2:17" x14ac:dyDescent="0.3">
      <c r="B107" s="95">
        <v>94</v>
      </c>
      <c r="C107" s="5"/>
      <c r="D107" s="237" t="s">
        <v>57</v>
      </c>
      <c r="E107" s="238"/>
      <c r="F107" s="71">
        <v>8</v>
      </c>
      <c r="G107" s="12">
        <v>0.01</v>
      </c>
      <c r="H107" s="12">
        <f t="shared" si="2"/>
        <v>0.08</v>
      </c>
      <c r="I107" s="12">
        <f>PRODUCT(H107,C6)</f>
        <v>0.10375999999999999</v>
      </c>
      <c r="J107" s="34">
        <f>SUM(C6,I107)</f>
        <v>1.40076</v>
      </c>
      <c r="K107" s="38">
        <f>PRODUCT(J8,J107)</f>
        <v>2098.3384799999999</v>
      </c>
      <c r="L107" s="71">
        <v>3</v>
      </c>
      <c r="M107" s="12">
        <v>0.01</v>
      </c>
      <c r="N107" s="12">
        <f t="shared" si="3"/>
        <v>0.03</v>
      </c>
      <c r="O107" s="12">
        <f>PRODUCT(N107,C8)</f>
        <v>3.4199999999999994E-2</v>
      </c>
      <c r="P107" s="34">
        <f>SUM(C8,O107)</f>
        <v>1.1741999999999999</v>
      </c>
      <c r="Q107" s="36">
        <f>PRODUCT(J8,P107)</f>
        <v>1758.9515999999999</v>
      </c>
    </row>
    <row r="108" spans="2:17" x14ac:dyDescent="0.3">
      <c r="B108" s="95">
        <v>95</v>
      </c>
      <c r="C108" s="5"/>
      <c r="D108" s="239" t="s">
        <v>56</v>
      </c>
      <c r="E108" s="240"/>
      <c r="F108" s="71">
        <v>15</v>
      </c>
      <c r="G108" s="12">
        <v>0.01</v>
      </c>
      <c r="H108" s="12">
        <f t="shared" si="2"/>
        <v>0.15</v>
      </c>
      <c r="I108" s="12">
        <f>PRODUCT(H108,C6)</f>
        <v>0.19454999999999997</v>
      </c>
      <c r="J108" s="34">
        <f>SUM(C6,I108)</f>
        <v>1.4915499999999999</v>
      </c>
      <c r="K108" s="38">
        <f>PRODUCT(J8,J108)</f>
        <v>2234.3418999999999</v>
      </c>
      <c r="L108" s="71">
        <v>13</v>
      </c>
      <c r="M108" s="12">
        <v>0.01</v>
      </c>
      <c r="N108" s="12">
        <f t="shared" si="3"/>
        <v>0.13</v>
      </c>
      <c r="O108" s="12">
        <f>PRODUCT(N108,C8)</f>
        <v>0.1482</v>
      </c>
      <c r="P108" s="34">
        <f>SUM(C8,O108)</f>
        <v>1.2881999999999998</v>
      </c>
      <c r="Q108" s="36">
        <f>PRODUCT(J8,P108)</f>
        <v>1929.7235999999996</v>
      </c>
    </row>
    <row r="109" spans="2:17" x14ac:dyDescent="0.3">
      <c r="B109" s="95">
        <v>96</v>
      </c>
      <c r="C109" s="5"/>
      <c r="D109" s="239" t="s">
        <v>52</v>
      </c>
      <c r="E109" s="240"/>
      <c r="F109" s="71">
        <v>10</v>
      </c>
      <c r="G109" s="12">
        <v>0.01</v>
      </c>
      <c r="H109" s="12">
        <f t="shared" si="2"/>
        <v>0.1</v>
      </c>
      <c r="I109" s="12">
        <f>PRODUCT(H109,C6)</f>
        <v>0.12970000000000001</v>
      </c>
      <c r="J109" s="34">
        <f>SUM(C6,I109)</f>
        <v>1.4266999999999999</v>
      </c>
      <c r="K109" s="38">
        <f>PRODUCT(J8,J109)</f>
        <v>2137.1965999999998</v>
      </c>
      <c r="L109" s="71">
        <v>8</v>
      </c>
      <c r="M109" s="12">
        <v>0.01</v>
      </c>
      <c r="N109" s="12">
        <f t="shared" si="3"/>
        <v>0.08</v>
      </c>
      <c r="O109" s="12">
        <f>PRODUCT(N109,C8)</f>
        <v>9.1199999999999989E-2</v>
      </c>
      <c r="P109" s="34">
        <f>SUM(C8,O109)</f>
        <v>1.2311999999999999</v>
      </c>
      <c r="Q109" s="36">
        <f>PRODUCT(J8,P109)</f>
        <v>1844.3375999999998</v>
      </c>
    </row>
    <row r="110" spans="2:17" x14ac:dyDescent="0.3">
      <c r="B110" s="95">
        <v>97</v>
      </c>
      <c r="C110" s="5"/>
      <c r="D110" s="237" t="s">
        <v>55</v>
      </c>
      <c r="E110" s="238"/>
      <c r="F110" s="71">
        <v>12</v>
      </c>
      <c r="G110" s="12">
        <v>0.01</v>
      </c>
      <c r="H110" s="12">
        <f t="shared" si="2"/>
        <v>0.12</v>
      </c>
      <c r="I110" s="12">
        <f>PRODUCT(H110,C6)</f>
        <v>0.15563999999999997</v>
      </c>
      <c r="J110" s="34">
        <f>SUM(C6,I110)</f>
        <v>1.4526399999999999</v>
      </c>
      <c r="K110" s="38">
        <f>PRODUCT(J8,J110)</f>
        <v>2176.0547200000001</v>
      </c>
      <c r="L110" s="71">
        <v>9</v>
      </c>
      <c r="M110" s="12">
        <v>0.01</v>
      </c>
      <c r="N110" s="12">
        <f t="shared" si="3"/>
        <v>0.09</v>
      </c>
      <c r="O110" s="12">
        <f>PRODUCT(N110,C8)</f>
        <v>0.10259999999999998</v>
      </c>
      <c r="P110" s="34">
        <f>SUM(C8,O110)</f>
        <v>1.2425999999999999</v>
      </c>
      <c r="Q110" s="36">
        <f>PRODUCT(J8,P110)</f>
        <v>1861.4147999999998</v>
      </c>
    </row>
    <row r="111" spans="2:17" x14ac:dyDescent="0.3">
      <c r="B111" s="95">
        <v>98</v>
      </c>
      <c r="C111" s="5"/>
      <c r="D111" s="239" t="s">
        <v>52</v>
      </c>
      <c r="E111" s="240"/>
      <c r="F111" s="71">
        <v>20</v>
      </c>
      <c r="G111" s="12">
        <v>0.01</v>
      </c>
      <c r="H111" s="12">
        <f t="shared" si="2"/>
        <v>0.2</v>
      </c>
      <c r="I111" s="12">
        <f>PRODUCT(H111,C6)</f>
        <v>0.25940000000000002</v>
      </c>
      <c r="J111" s="34">
        <f>SUM(C6,I111)</f>
        <v>1.5564</v>
      </c>
      <c r="K111" s="38">
        <f>PRODUCT(J8,J111)</f>
        <v>2331.4872</v>
      </c>
      <c r="L111" s="71">
        <v>12</v>
      </c>
      <c r="M111" s="12">
        <v>0.01</v>
      </c>
      <c r="N111" s="12">
        <f t="shared" si="3"/>
        <v>0.12</v>
      </c>
      <c r="O111" s="12">
        <f>PRODUCT(N111,C8)</f>
        <v>0.13679999999999998</v>
      </c>
      <c r="P111" s="34">
        <f>SUM(C8,O111)</f>
        <v>1.2767999999999999</v>
      </c>
      <c r="Q111" s="36">
        <f>PRODUCT(J8,P111)</f>
        <v>1912.6463999999999</v>
      </c>
    </row>
    <row r="112" spans="2:17" x14ac:dyDescent="0.3">
      <c r="B112" s="95">
        <v>99</v>
      </c>
      <c r="C112" s="5"/>
      <c r="D112" s="239" t="s">
        <v>77</v>
      </c>
      <c r="E112" s="240"/>
      <c r="F112" s="71">
        <v>20</v>
      </c>
      <c r="G112" s="12">
        <v>0.01</v>
      </c>
      <c r="H112" s="12">
        <f t="shared" si="2"/>
        <v>0.2</v>
      </c>
      <c r="I112" s="12">
        <f>PRODUCT(H112,C6)</f>
        <v>0.25940000000000002</v>
      </c>
      <c r="J112" s="34">
        <f>SUM(C6,I112)</f>
        <v>1.5564</v>
      </c>
      <c r="K112" s="38">
        <f>PRODUCT(J8,J112)</f>
        <v>2331.4872</v>
      </c>
      <c r="L112" s="71">
        <v>17</v>
      </c>
      <c r="M112" s="12">
        <v>0.01</v>
      </c>
      <c r="N112" s="12">
        <f t="shared" si="3"/>
        <v>0.17</v>
      </c>
      <c r="O112" s="12">
        <f>PRODUCT(N112,C8)</f>
        <v>0.1938</v>
      </c>
      <c r="P112" s="34">
        <f>SUM(C8,O112)</f>
        <v>1.3337999999999999</v>
      </c>
      <c r="Q112" s="36">
        <f>PRODUCT(J8,P112)</f>
        <v>1998.0323999999998</v>
      </c>
    </row>
    <row r="113" spans="2:17" ht="19.5" thickBot="1" x14ac:dyDescent="0.35">
      <c r="B113" s="95">
        <v>100</v>
      </c>
      <c r="C113" s="5"/>
      <c r="D113" s="257" t="s">
        <v>53</v>
      </c>
      <c r="E113" s="258"/>
      <c r="F113" s="199">
        <v>19</v>
      </c>
      <c r="G113" s="13">
        <v>0.01</v>
      </c>
      <c r="H113" s="13">
        <f t="shared" si="2"/>
        <v>0.19</v>
      </c>
      <c r="I113" s="13">
        <f>PRODUCT(H113,C6)</f>
        <v>0.24642999999999998</v>
      </c>
      <c r="J113" s="35">
        <f>SUM(C6,I113)</f>
        <v>1.5434299999999999</v>
      </c>
      <c r="K113" s="39">
        <f>PRODUCT(J8,J113)</f>
        <v>2312.0581399999996</v>
      </c>
      <c r="L113" s="199">
        <v>13</v>
      </c>
      <c r="M113" s="13">
        <v>0.01</v>
      </c>
      <c r="N113" s="13">
        <f t="shared" si="3"/>
        <v>0.13</v>
      </c>
      <c r="O113" s="13">
        <f>PRODUCT(N113,C8)</f>
        <v>0.1482</v>
      </c>
      <c r="P113" s="35">
        <f>SUM(C8,O113)</f>
        <v>1.2881999999999998</v>
      </c>
      <c r="Q113" s="37">
        <f>PRODUCT(J8,P113)</f>
        <v>1929.7235999999996</v>
      </c>
    </row>
    <row r="114" spans="2:17" x14ac:dyDescent="0.3">
      <c r="B114" s="96"/>
      <c r="F114" s="106">
        <f>AVERAGE(F14:F113)</f>
        <v>11.468</v>
      </c>
      <c r="L114" s="106">
        <f>AVERAGE(L14:L113)</f>
        <v>8.33</v>
      </c>
    </row>
    <row r="115" spans="2:17" ht="19.5" thickBot="1" x14ac:dyDescent="0.35">
      <c r="L115" t="s">
        <v>152</v>
      </c>
    </row>
    <row r="116" spans="2:17" ht="19.5" thickBot="1" x14ac:dyDescent="0.35">
      <c r="D116" s="129" t="s">
        <v>69</v>
      </c>
      <c r="E116" s="131">
        <v>1000</v>
      </c>
      <c r="F116" s="130">
        <v>1220</v>
      </c>
      <c r="K116" s="129" t="s">
        <v>69</v>
      </c>
      <c r="L116" s="131">
        <v>1000</v>
      </c>
      <c r="M116" s="134">
        <v>1220</v>
      </c>
      <c r="N116" s="133"/>
      <c r="O116" s="133"/>
      <c r="P116" s="128">
        <v>1220</v>
      </c>
    </row>
    <row r="117" spans="2:17" x14ac:dyDescent="0.3">
      <c r="D117" s="135">
        <v>3.17</v>
      </c>
      <c r="E117" s="124">
        <v>1.5529999999999999</v>
      </c>
      <c r="F117" s="136">
        <v>1.5029999999999999</v>
      </c>
      <c r="J117" s="75" t="s">
        <v>52</v>
      </c>
      <c r="K117" s="135">
        <v>3.17</v>
      </c>
      <c r="L117" s="136">
        <f t="shared" ref="L117:L124" si="4">SUM(E117*0.793)*1.2</f>
        <v>1.4778348000000001</v>
      </c>
      <c r="M117" s="125">
        <v>1.7</v>
      </c>
      <c r="N117" s="140"/>
      <c r="O117" s="140"/>
      <c r="P117" s="136">
        <f>SUM(F117*0.7937)*1.2</f>
        <v>1.4315173199999998</v>
      </c>
    </row>
    <row r="118" spans="2:17" x14ac:dyDescent="0.3">
      <c r="D118" s="84">
        <v>12</v>
      </c>
      <c r="E118" s="54">
        <v>1.5860000000000001</v>
      </c>
      <c r="F118" s="137">
        <v>1.536</v>
      </c>
      <c r="K118" s="84">
        <v>12</v>
      </c>
      <c r="L118" s="136">
        <f t="shared" si="4"/>
        <v>1.5092376000000003</v>
      </c>
      <c r="M118" s="68">
        <v>1.7130000000000001</v>
      </c>
      <c r="N118" s="140"/>
      <c r="O118" s="140"/>
      <c r="P118" s="136">
        <f t="shared" ref="P118:P124" si="5">SUM(F118*0.793)*1.2</f>
        <v>1.4616575999999999</v>
      </c>
    </row>
    <row r="119" spans="2:17" x14ac:dyDescent="0.3">
      <c r="D119" s="84" t="s">
        <v>76</v>
      </c>
      <c r="E119" s="54">
        <v>1.619</v>
      </c>
      <c r="F119" s="137">
        <v>1.569</v>
      </c>
      <c r="K119" s="84" t="s">
        <v>76</v>
      </c>
      <c r="L119" s="136">
        <f t="shared" si="4"/>
        <v>1.5406404</v>
      </c>
      <c r="M119" s="68">
        <v>1.7130000000000001</v>
      </c>
      <c r="N119" s="140"/>
      <c r="O119" s="140"/>
      <c r="P119" s="136">
        <f t="shared" si="5"/>
        <v>1.4930604000000001</v>
      </c>
    </row>
    <row r="120" spans="2:17" x14ac:dyDescent="0.3">
      <c r="D120" s="84">
        <v>1.25</v>
      </c>
      <c r="E120" s="54">
        <v>1.635</v>
      </c>
      <c r="F120" s="137">
        <v>1.5860000000000001</v>
      </c>
      <c r="K120" s="84">
        <v>1.25</v>
      </c>
      <c r="L120" s="136">
        <f t="shared" si="4"/>
        <v>1.5558660000000002</v>
      </c>
      <c r="M120" s="68">
        <v>1.7270000000000001</v>
      </c>
      <c r="N120" s="140"/>
      <c r="O120" s="140"/>
      <c r="P120" s="136">
        <f t="shared" si="5"/>
        <v>1.5092376000000003</v>
      </c>
    </row>
    <row r="121" spans="2:17" x14ac:dyDescent="0.3">
      <c r="D121" s="84">
        <v>20</v>
      </c>
      <c r="E121" s="54">
        <v>1.6679999999999999</v>
      </c>
      <c r="F121" s="137">
        <v>1.619</v>
      </c>
      <c r="K121" s="84">
        <v>20</v>
      </c>
      <c r="L121" s="136">
        <f t="shared" si="4"/>
        <v>1.5872687999999999</v>
      </c>
      <c r="M121" s="68">
        <v>1.7470000000000001</v>
      </c>
      <c r="N121" s="140"/>
      <c r="O121" s="140"/>
      <c r="P121" s="136">
        <f t="shared" si="5"/>
        <v>1.5406404</v>
      </c>
    </row>
    <row r="122" spans="2:17" x14ac:dyDescent="0.3">
      <c r="D122" s="84">
        <v>22</v>
      </c>
      <c r="E122" s="54">
        <v>1.6850000000000001</v>
      </c>
      <c r="F122" s="137">
        <v>1.635</v>
      </c>
      <c r="K122" s="84">
        <v>22</v>
      </c>
      <c r="L122" s="136">
        <f t="shared" si="4"/>
        <v>1.6034460000000001</v>
      </c>
      <c r="M122" s="69" t="s">
        <v>52</v>
      </c>
      <c r="N122" s="140"/>
      <c r="O122" s="140"/>
      <c r="P122" s="136">
        <f t="shared" si="5"/>
        <v>1.5558660000000002</v>
      </c>
    </row>
    <row r="123" spans="2:17" x14ac:dyDescent="0.3">
      <c r="D123" s="84">
        <v>0.5</v>
      </c>
      <c r="E123" s="54">
        <v>1.7010000000000001</v>
      </c>
      <c r="F123" s="137">
        <v>1.653</v>
      </c>
      <c r="K123" s="84">
        <v>0.5</v>
      </c>
      <c r="L123" s="136">
        <f t="shared" si="4"/>
        <v>1.6186716000000001</v>
      </c>
      <c r="M123" s="68">
        <v>1.768</v>
      </c>
      <c r="N123" s="140"/>
      <c r="O123" s="140"/>
      <c r="P123" s="136">
        <f t="shared" si="5"/>
        <v>1.5729948</v>
      </c>
    </row>
    <row r="124" spans="2:17" ht="19.5" thickBot="1" x14ac:dyDescent="0.35">
      <c r="D124" s="85">
        <v>0.4</v>
      </c>
      <c r="E124" s="138">
        <v>1.831</v>
      </c>
      <c r="F124" s="139">
        <v>1.782</v>
      </c>
      <c r="K124" s="85">
        <v>0.4</v>
      </c>
      <c r="L124" s="136">
        <f t="shared" si="4"/>
        <v>1.7423796</v>
      </c>
      <c r="M124" s="144" t="s">
        <v>52</v>
      </c>
      <c r="N124" s="145"/>
      <c r="O124" s="145"/>
      <c r="P124" s="136">
        <f t="shared" si="5"/>
        <v>1.6957512000000001</v>
      </c>
    </row>
    <row r="125" spans="2:17" ht="19.5" thickBot="1" x14ac:dyDescent="0.35"/>
    <row r="126" spans="2:17" ht="19.5" thickBot="1" x14ac:dyDescent="0.35">
      <c r="F126" s="126" t="s">
        <v>69</v>
      </c>
      <c r="G126" s="127">
        <v>1000</v>
      </c>
      <c r="H126" s="127">
        <v>1220</v>
      </c>
      <c r="I126" s="133"/>
      <c r="J126" s="131">
        <v>1000</v>
      </c>
      <c r="K126" s="130">
        <v>1220</v>
      </c>
    </row>
    <row r="127" spans="2:17" x14ac:dyDescent="0.3">
      <c r="F127" s="135">
        <v>3.17</v>
      </c>
      <c r="G127" s="132" t="e">
        <f>SUM(#REF!*0.87)*1.22</f>
        <v>#REF!</v>
      </c>
      <c r="H127" s="125">
        <v>1.7</v>
      </c>
      <c r="I127" s="140"/>
      <c r="J127" s="132">
        <f>SUM(L117*J8)</f>
        <v>2213.7965304000004</v>
      </c>
      <c r="K127" s="141">
        <f>SUM(P117*J8)</f>
        <v>2144.4129453599999</v>
      </c>
      <c r="L127" s="89" t="s">
        <v>52</v>
      </c>
    </row>
    <row r="128" spans="2:17" x14ac:dyDescent="0.3">
      <c r="F128" s="84">
        <v>12</v>
      </c>
      <c r="G128" s="40" t="e">
        <f>SUM(#REF!*0.87)*1.22</f>
        <v>#REF!</v>
      </c>
      <c r="H128" s="68">
        <v>1.7130000000000001</v>
      </c>
      <c r="I128" s="140"/>
      <c r="J128" s="40">
        <f>SUM(L118*J8)</f>
        <v>2260.8379248000006</v>
      </c>
      <c r="K128" s="142">
        <f>SUM(P118*J8)</f>
        <v>2189.5630847999996</v>
      </c>
      <c r="L128" s="220" t="s">
        <v>334</v>
      </c>
      <c r="M128" s="214"/>
      <c r="N128" s="214"/>
      <c r="O128" s="214"/>
      <c r="P128" s="214" t="s">
        <v>52</v>
      </c>
      <c r="Q128" s="214"/>
    </row>
    <row r="129" spans="1:19" x14ac:dyDescent="0.3">
      <c r="F129" s="84" t="s">
        <v>76</v>
      </c>
      <c r="G129" s="40" t="e">
        <f>SUM(#REF!*0.87)*1.22</f>
        <v>#REF!</v>
      </c>
      <c r="H129" s="68">
        <v>1.7130000000000001</v>
      </c>
      <c r="I129" s="140"/>
      <c r="J129" s="40">
        <f>SUM(L119*J8)</f>
        <v>2307.8793191999998</v>
      </c>
      <c r="K129" s="142">
        <f>SUM(P119*J8)</f>
        <v>2236.6044792000002</v>
      </c>
      <c r="L129" s="213" t="s">
        <v>299</v>
      </c>
      <c r="M129" s="214"/>
      <c r="N129" s="214"/>
      <c r="O129" s="214"/>
      <c r="P129" s="214" t="s">
        <v>326</v>
      </c>
      <c r="Q129" s="214"/>
      <c r="S129" t="s">
        <v>68</v>
      </c>
    </row>
    <row r="130" spans="1:19" x14ac:dyDescent="0.3">
      <c r="F130" s="84">
        <v>1.25</v>
      </c>
      <c r="G130" s="40" t="e">
        <f>SUM(#REF!*0.87)*1.22</f>
        <v>#REF!</v>
      </c>
      <c r="H130" s="68">
        <v>1.7270000000000001</v>
      </c>
      <c r="I130" s="140"/>
      <c r="J130" s="40">
        <f>SUM(L120*J8)</f>
        <v>2330.6872680000001</v>
      </c>
      <c r="K130" s="142">
        <f>SUM(P120*J8)</f>
        <v>2260.8379248000006</v>
      </c>
      <c r="L130" s="213" t="s">
        <v>295</v>
      </c>
      <c r="M130" s="214"/>
      <c r="N130" s="214"/>
      <c r="O130" s="214"/>
      <c r="P130" s="214" t="s">
        <v>357</v>
      </c>
      <c r="Q130" s="214"/>
    </row>
    <row r="131" spans="1:19" x14ac:dyDescent="0.3">
      <c r="F131" s="84">
        <v>20</v>
      </c>
      <c r="G131" s="40" t="e">
        <f>SUM(#REF!*0.87)*1.22</f>
        <v>#REF!</v>
      </c>
      <c r="H131" s="68">
        <v>1.7470000000000001</v>
      </c>
      <c r="I131" s="140"/>
      <c r="J131" s="40">
        <f>SUM(L121*J8)</f>
        <v>2377.7286623999998</v>
      </c>
      <c r="K131" s="142">
        <f>SUM(P121*J8)</f>
        <v>2307.8793191999998</v>
      </c>
      <c r="L131" s="213" t="s">
        <v>323</v>
      </c>
      <c r="M131" s="214"/>
      <c r="N131" s="214"/>
      <c r="O131" s="214"/>
      <c r="P131" s="214" t="s">
        <v>231</v>
      </c>
      <c r="Q131" s="226" t="s">
        <v>324</v>
      </c>
      <c r="R131" t="s">
        <v>358</v>
      </c>
    </row>
    <row r="132" spans="1:19" x14ac:dyDescent="0.3">
      <c r="F132" s="84">
        <v>22</v>
      </c>
      <c r="G132" s="40" t="e">
        <f>SUM(#REF!*0.87)*1.22</f>
        <v>#REF!</v>
      </c>
      <c r="H132" s="69" t="s">
        <v>52</v>
      </c>
      <c r="I132" s="140"/>
      <c r="J132" s="40">
        <f>SUM(L122*J8)</f>
        <v>2401.9621080000002</v>
      </c>
      <c r="K132" s="142">
        <f>SUM(P122*J8)</f>
        <v>2330.6872680000001</v>
      </c>
      <c r="L132" s="89" t="s">
        <v>311</v>
      </c>
    </row>
    <row r="133" spans="1:19" x14ac:dyDescent="0.3">
      <c r="F133" s="84">
        <v>0.5</v>
      </c>
      <c r="G133" s="40" t="e">
        <f>SUM(#REF!*0.87)*1.22</f>
        <v>#REF!</v>
      </c>
      <c r="H133" s="68">
        <v>1.768</v>
      </c>
      <c r="I133" s="140"/>
      <c r="J133" s="40">
        <f>SUM(L123*J8)</f>
        <v>2424.7700568</v>
      </c>
      <c r="K133" s="142">
        <f>SUM(P123*J8)</f>
        <v>2356.3462104</v>
      </c>
      <c r="L133" s="89" t="s">
        <v>52</v>
      </c>
    </row>
    <row r="134" spans="1:19" ht="19.5" thickBot="1" x14ac:dyDescent="0.35">
      <c r="F134" s="85">
        <v>0.4</v>
      </c>
      <c r="G134" s="143" t="e">
        <f>SUM(#REF!*0.87)*1.22</f>
        <v>#REF!</v>
      </c>
      <c r="H134" s="144" t="s">
        <v>52</v>
      </c>
      <c r="I134" s="145"/>
      <c r="J134" s="143">
        <f>SUM(L124*J8)</f>
        <v>2610.0846408000002</v>
      </c>
      <c r="K134" s="146">
        <f>SUM(P124*J8)</f>
        <v>2540.2352976000002</v>
      </c>
      <c r="L134" s="89" t="s">
        <v>52</v>
      </c>
      <c r="S134" s="53"/>
    </row>
    <row r="135" spans="1:19" ht="45.75" thickBot="1" x14ac:dyDescent="0.35">
      <c r="A135" s="168" t="s">
        <v>14</v>
      </c>
      <c r="B135" s="169">
        <v>35</v>
      </c>
      <c r="D135">
        <v>0.01</v>
      </c>
      <c r="E135">
        <v>0.26</v>
      </c>
      <c r="Q135" t="s">
        <v>52</v>
      </c>
    </row>
    <row r="136" spans="1:19" ht="48" thickBot="1" x14ac:dyDescent="0.35">
      <c r="A136" s="167" t="s">
        <v>145</v>
      </c>
      <c r="B136" s="166" t="s">
        <v>148</v>
      </c>
      <c r="D136" s="129" t="s">
        <v>146</v>
      </c>
      <c r="E136" s="148" t="s">
        <v>147</v>
      </c>
      <c r="F136" s="147" t="s">
        <v>137</v>
      </c>
      <c r="G136" s="133"/>
      <c r="H136" s="133"/>
      <c r="I136" s="133"/>
      <c r="J136" s="148" t="s">
        <v>136</v>
      </c>
      <c r="K136" s="149" t="s">
        <v>138</v>
      </c>
      <c r="L136" s="99" t="s">
        <v>144</v>
      </c>
      <c r="P136" s="97"/>
      <c r="Q136" s="101" t="s">
        <v>143</v>
      </c>
      <c r="R136" s="98"/>
      <c r="S136" s="98"/>
    </row>
    <row r="137" spans="1:19" x14ac:dyDescent="0.3">
      <c r="A137" s="92">
        <v>6.62</v>
      </c>
      <c r="B137" s="207">
        <v>1.2544999999999999</v>
      </c>
      <c r="C137" s="105" t="s">
        <v>52</v>
      </c>
      <c r="D137" s="196" t="s">
        <v>135</v>
      </c>
      <c r="E137" s="151">
        <v>6.65</v>
      </c>
      <c r="F137" s="152">
        <f>PRODUCT(B137,E135)+B137</f>
        <v>1.58067</v>
      </c>
      <c r="G137" s="153"/>
      <c r="H137" s="153"/>
      <c r="I137" s="153"/>
      <c r="J137" s="154">
        <f>SUM(E137*F137)</f>
        <v>10.5114555</v>
      </c>
      <c r="K137" s="155">
        <f>SUM(J8*E137*F137)</f>
        <v>15746.160339000002</v>
      </c>
      <c r="L137" s="102"/>
    </row>
    <row r="138" spans="1:19" x14ac:dyDescent="0.3">
      <c r="A138" s="92">
        <v>2.84</v>
      </c>
      <c r="B138" s="206">
        <v>2.0630000000000002</v>
      </c>
      <c r="C138" s="105"/>
      <c r="D138" s="165" t="s">
        <v>153</v>
      </c>
      <c r="E138" s="88">
        <v>2.84</v>
      </c>
      <c r="F138" s="68">
        <f>PRODUCT(B138,E135)+B138</f>
        <v>2.59938</v>
      </c>
      <c r="G138" s="140"/>
      <c r="H138" s="140"/>
      <c r="I138" s="140"/>
      <c r="J138" s="54">
        <f>SUM(E138*F138)</f>
        <v>7.3822391999999999</v>
      </c>
      <c r="K138" s="156">
        <f>SUM(J8*E138*F138)</f>
        <v>11058.5943216</v>
      </c>
      <c r="L138" s="103"/>
      <c r="P138" s="104"/>
    </row>
    <row r="139" spans="1:19" x14ac:dyDescent="0.3">
      <c r="A139" s="92">
        <v>4.1100000000000003</v>
      </c>
      <c r="B139" s="205">
        <v>2.0329999999999999</v>
      </c>
      <c r="C139" s="105"/>
      <c r="D139" s="165" t="s">
        <v>196</v>
      </c>
      <c r="E139" s="88">
        <v>4.1100000000000003</v>
      </c>
      <c r="F139" s="68">
        <f>PRODUCT(B139,E135)+B139</f>
        <v>2.5615800000000002</v>
      </c>
      <c r="G139" s="140"/>
      <c r="H139" s="140"/>
      <c r="I139" s="140"/>
      <c r="J139" s="54">
        <f>SUM(E139*F139)</f>
        <v>10.528093800000002</v>
      </c>
      <c r="K139" s="156">
        <f>SUM(J8*E139*F139)</f>
        <v>15771.084512400002</v>
      </c>
    </row>
    <row r="140" spans="1:19" ht="19.5" thickBot="1" x14ac:dyDescent="0.35">
      <c r="A140" s="92" t="s">
        <v>52</v>
      </c>
      <c r="B140" s="92" t="s">
        <v>52</v>
      </c>
      <c r="C140" s="105" t="s">
        <v>52</v>
      </c>
      <c r="D140" s="158" t="s">
        <v>52</v>
      </c>
      <c r="E140" s="159" t="s">
        <v>52</v>
      </c>
      <c r="F140" s="160" t="s">
        <v>52</v>
      </c>
      <c r="G140" s="145"/>
      <c r="H140" s="145"/>
      <c r="I140" s="145"/>
      <c r="J140" s="138" t="s">
        <v>52</v>
      </c>
      <c r="K140" s="161" t="s">
        <v>52</v>
      </c>
    </row>
    <row r="141" spans="1:19" ht="19.5" thickBot="1" x14ac:dyDescent="0.35">
      <c r="C141" s="105"/>
    </row>
    <row r="142" spans="1:19" ht="48" thickBot="1" x14ac:dyDescent="0.35">
      <c r="A142" s="167" t="s">
        <v>145</v>
      </c>
      <c r="B142" s="166" t="s">
        <v>139</v>
      </c>
      <c r="C142" s="105"/>
      <c r="D142" s="129" t="s">
        <v>128</v>
      </c>
      <c r="E142" s="148" t="s">
        <v>147</v>
      </c>
      <c r="F142" s="147" t="s">
        <v>137</v>
      </c>
      <c r="G142" s="133"/>
      <c r="H142" s="133"/>
      <c r="I142" s="133"/>
      <c r="J142" s="148" t="s">
        <v>136</v>
      </c>
      <c r="K142" s="149" t="s">
        <v>138</v>
      </c>
    </row>
    <row r="143" spans="1:19" x14ac:dyDescent="0.3">
      <c r="A143" s="167">
        <v>2.2050000000000001</v>
      </c>
      <c r="B143" s="204">
        <v>1.5860000000000001</v>
      </c>
      <c r="C143" s="105"/>
      <c r="D143" s="208" t="s">
        <v>240</v>
      </c>
      <c r="E143" s="209">
        <v>2.2050000000000001</v>
      </c>
      <c r="F143" s="210">
        <f>PRODUCT(B143,E135)+B143</f>
        <v>1.9983600000000001</v>
      </c>
      <c r="G143" s="153"/>
      <c r="H143" s="153"/>
      <c r="I143" s="153"/>
      <c r="J143" s="211">
        <f>SUM(E143*F143)</f>
        <v>4.4063838000000004</v>
      </c>
      <c r="K143" s="212">
        <f>SUM(J8*E143*F143)</f>
        <v>6600.7629324000009</v>
      </c>
      <c r="P143" s="89">
        <f>SUM(K143*0.98)</f>
        <v>6468.747673752001</v>
      </c>
      <c r="R143" s="89">
        <f>SUM(P143*1.105)</f>
        <v>7147.9661794959611</v>
      </c>
    </row>
    <row r="144" spans="1:19" x14ac:dyDescent="0.3">
      <c r="A144" s="92">
        <v>3.24</v>
      </c>
      <c r="B144" s="203">
        <v>1.2849999999999999</v>
      </c>
      <c r="C144" s="105"/>
      <c r="D144" s="84" t="s">
        <v>115</v>
      </c>
      <c r="E144" s="88">
        <v>3.25</v>
      </c>
      <c r="F144" s="68">
        <f>PRODUCT(B144,E135)+B144</f>
        <v>1.6191</v>
      </c>
      <c r="G144" s="171"/>
      <c r="H144" s="171"/>
      <c r="I144" s="171"/>
      <c r="J144" s="54">
        <f>SUM(E144*F144)</f>
        <v>5.2620750000000003</v>
      </c>
      <c r="K144" s="156">
        <f>SUM(J8*E144*F144)</f>
        <v>7882.58835</v>
      </c>
      <c r="P144" s="89">
        <f t="shared" ref="P144:P170" si="6">SUM(K144*0.98)</f>
        <v>7724.9365829999997</v>
      </c>
      <c r="R144" s="89">
        <f t="shared" ref="R144:R166" si="7">SUM(P144*1.105)</f>
        <v>8536.0549242149991</v>
      </c>
    </row>
    <row r="145" spans="1:20" x14ac:dyDescent="0.3">
      <c r="A145" s="92">
        <v>3.24</v>
      </c>
      <c r="B145" s="203">
        <v>1.2849999999999999</v>
      </c>
      <c r="C145" s="105"/>
      <c r="D145" s="135" t="s">
        <v>278</v>
      </c>
      <c r="E145" s="172">
        <v>3.25</v>
      </c>
      <c r="F145" s="125">
        <f>PRODUCT(B145,E135)+B145</f>
        <v>1.6191</v>
      </c>
      <c r="G145" s="140"/>
      <c r="H145" s="140"/>
      <c r="I145" s="140"/>
      <c r="J145" s="124">
        <f>SUM(E145*F145)</f>
        <v>5.2620750000000003</v>
      </c>
      <c r="K145" s="174">
        <f>SUM(J8*E145*F145)</f>
        <v>7882.58835</v>
      </c>
      <c r="P145" s="89">
        <f t="shared" si="6"/>
        <v>7724.9365829999997</v>
      </c>
      <c r="R145" s="89">
        <f t="shared" si="7"/>
        <v>8536.0549242149991</v>
      </c>
    </row>
    <row r="146" spans="1:20" x14ac:dyDescent="0.3">
      <c r="A146" s="92">
        <v>4.415</v>
      </c>
      <c r="B146" s="197">
        <v>1.2729999999999999</v>
      </c>
      <c r="C146" s="105"/>
      <c r="D146" s="84" t="s">
        <v>116</v>
      </c>
      <c r="E146" s="88">
        <v>4.45</v>
      </c>
      <c r="F146" s="68">
        <f>PRODUCT(B146,E135)+B146</f>
        <v>1.60398</v>
      </c>
      <c r="G146" s="140"/>
      <c r="H146" s="140"/>
      <c r="I146" s="140"/>
      <c r="J146" s="54">
        <f t="shared" ref="J146:J164" si="8">SUM(E146*F146)</f>
        <v>7.1377110000000004</v>
      </c>
      <c r="K146" s="156">
        <f>SUM(J8*E146*F146)</f>
        <v>10692.291078</v>
      </c>
      <c r="P146" s="89">
        <f t="shared" si="6"/>
        <v>10478.44525644</v>
      </c>
      <c r="R146" s="89">
        <f t="shared" si="7"/>
        <v>11578.682008366201</v>
      </c>
    </row>
    <row r="147" spans="1:20" x14ac:dyDescent="0.3">
      <c r="A147" s="92">
        <v>4.415</v>
      </c>
      <c r="B147" s="197">
        <v>1.2729999999999999</v>
      </c>
      <c r="C147" s="105"/>
      <c r="D147" s="84" t="s">
        <v>197</v>
      </c>
      <c r="E147" s="88">
        <v>4.45</v>
      </c>
      <c r="F147" s="68">
        <f>PRODUCT(B147,E135)+B147</f>
        <v>1.60398</v>
      </c>
      <c r="G147" s="140"/>
      <c r="H147" s="140"/>
      <c r="I147" s="140"/>
      <c r="J147" s="54">
        <f t="shared" si="8"/>
        <v>7.1377110000000004</v>
      </c>
      <c r="K147" s="156">
        <f>SUM(J8*E147*F147)</f>
        <v>10692.291078</v>
      </c>
      <c r="P147" s="89">
        <f t="shared" si="6"/>
        <v>10478.44525644</v>
      </c>
      <c r="R147" s="89">
        <f t="shared" si="7"/>
        <v>11578.682008366201</v>
      </c>
    </row>
    <row r="148" spans="1:20" x14ac:dyDescent="0.3">
      <c r="A148" s="92">
        <v>5.0599999999999996</v>
      </c>
      <c r="B148" s="197">
        <v>1.2729999999999999</v>
      </c>
      <c r="C148" s="105"/>
      <c r="D148" s="84" t="s">
        <v>300</v>
      </c>
      <c r="E148" s="88">
        <v>5.0599999999999996</v>
      </c>
      <c r="F148" s="68">
        <f>PRODUCT(B148,E135)+B148</f>
        <v>1.60398</v>
      </c>
      <c r="G148" s="140"/>
      <c r="H148" s="140"/>
      <c r="I148" s="140"/>
      <c r="J148" s="54">
        <f t="shared" si="8"/>
        <v>8.1161387999999999</v>
      </c>
      <c r="K148" s="156">
        <f>SUM(J8*E148*F148)</f>
        <v>12157.975922399999</v>
      </c>
      <c r="P148" s="89">
        <f t="shared" si="6"/>
        <v>11914.816403952</v>
      </c>
      <c r="R148" s="89">
        <f t="shared" si="7"/>
        <v>13165.872126366959</v>
      </c>
    </row>
    <row r="149" spans="1:20" x14ac:dyDescent="0.3">
      <c r="A149" s="92">
        <v>5.59</v>
      </c>
      <c r="B149" s="197">
        <v>1.2729999999999999</v>
      </c>
      <c r="C149" s="105"/>
      <c r="D149" s="84" t="s">
        <v>241</v>
      </c>
      <c r="E149" s="88">
        <v>5.875</v>
      </c>
      <c r="F149" s="68">
        <f>PRODUCT(B149,E135)+B149</f>
        <v>1.60398</v>
      </c>
      <c r="G149" s="140"/>
      <c r="H149" s="140"/>
      <c r="I149" s="140"/>
      <c r="J149" s="54">
        <f t="shared" ref="J149" si="9">SUM(E149*F149)</f>
        <v>9.4233824999999989</v>
      </c>
      <c r="K149" s="156">
        <f>SUM(J8*E149*F149)</f>
        <v>14116.226984999999</v>
      </c>
      <c r="P149" s="89">
        <f t="shared" si="6"/>
        <v>13833.902445299998</v>
      </c>
      <c r="R149" s="89">
        <f t="shared" si="7"/>
        <v>15286.462202056498</v>
      </c>
    </row>
    <row r="150" spans="1:20" x14ac:dyDescent="0.3">
      <c r="A150" s="92">
        <v>5.59</v>
      </c>
      <c r="B150" s="197">
        <v>1.2729999999999999</v>
      </c>
      <c r="C150" s="105"/>
      <c r="D150" s="84" t="s">
        <v>133</v>
      </c>
      <c r="E150" s="88">
        <v>5.875</v>
      </c>
      <c r="F150" s="68">
        <f>PRODUCT(B150,E135)+B150</f>
        <v>1.60398</v>
      </c>
      <c r="G150" s="140"/>
      <c r="H150" s="140"/>
      <c r="I150" s="140"/>
      <c r="J150" s="54">
        <f t="shared" si="8"/>
        <v>9.4233824999999989</v>
      </c>
      <c r="K150" s="156">
        <f>SUM(J8*E150*F150)</f>
        <v>14116.226984999999</v>
      </c>
      <c r="P150" s="89">
        <f t="shared" si="6"/>
        <v>13833.902445299998</v>
      </c>
      <c r="R150" s="89">
        <f t="shared" si="7"/>
        <v>15286.462202056498</v>
      </c>
    </row>
    <row r="151" spans="1:20" x14ac:dyDescent="0.3">
      <c r="A151" s="92">
        <v>5.59</v>
      </c>
      <c r="B151" s="197">
        <v>1.2729999999999999</v>
      </c>
      <c r="C151" s="105" t="s">
        <v>52</v>
      </c>
      <c r="D151" s="157" t="s">
        <v>131</v>
      </c>
      <c r="E151" s="88">
        <v>5.875</v>
      </c>
      <c r="F151" s="68">
        <f>PRODUCT(B151,E135)+B151</f>
        <v>1.60398</v>
      </c>
      <c r="G151" s="140"/>
      <c r="H151" s="140"/>
      <c r="I151" s="140"/>
      <c r="J151" s="54">
        <f t="shared" si="8"/>
        <v>9.4233824999999989</v>
      </c>
      <c r="K151" s="156">
        <f>SUM(J8*E151*F151)</f>
        <v>14116.226984999999</v>
      </c>
      <c r="P151" s="89">
        <f t="shared" si="6"/>
        <v>13833.902445299998</v>
      </c>
      <c r="R151" s="89">
        <f t="shared" si="7"/>
        <v>15286.462202056498</v>
      </c>
    </row>
    <row r="152" spans="1:20" x14ac:dyDescent="0.3">
      <c r="A152" s="92">
        <v>6.77</v>
      </c>
      <c r="B152" s="197">
        <v>1.2729999999999999</v>
      </c>
      <c r="C152" s="105" t="s">
        <v>52</v>
      </c>
      <c r="D152" s="157" t="s">
        <v>142</v>
      </c>
      <c r="E152" s="88">
        <v>6.8159999999999998</v>
      </c>
      <c r="F152" s="68">
        <f>PRODUCT(B152,E135)+B152</f>
        <v>1.60398</v>
      </c>
      <c r="G152" s="140"/>
      <c r="H152" s="140"/>
      <c r="I152" s="140"/>
      <c r="J152" s="54">
        <f>SUM(E152*F152)</f>
        <v>10.932727679999999</v>
      </c>
      <c r="K152" s="156">
        <f>SUM(J8*E152*F152)</f>
        <v>16377.226064640001</v>
      </c>
      <c r="P152" s="89">
        <f t="shared" si="6"/>
        <v>16049.6815433472</v>
      </c>
      <c r="Q152" t="s">
        <v>52</v>
      </c>
      <c r="R152" s="89">
        <f t="shared" si="7"/>
        <v>17734.898105398657</v>
      </c>
      <c r="T152" t="s">
        <v>52</v>
      </c>
    </row>
    <row r="153" spans="1:20" x14ac:dyDescent="0.3">
      <c r="A153" s="92">
        <v>6.51</v>
      </c>
      <c r="B153" s="197">
        <v>1.2729999999999999</v>
      </c>
      <c r="C153" s="105" t="s">
        <v>52</v>
      </c>
      <c r="D153" s="157" t="s">
        <v>141</v>
      </c>
      <c r="E153" s="88">
        <v>6.8159999999999998</v>
      </c>
      <c r="F153" s="68">
        <f>PRODUCT(B153,E135)+B153</f>
        <v>1.60398</v>
      </c>
      <c r="G153" s="140"/>
      <c r="H153" s="140"/>
      <c r="I153" s="140"/>
      <c r="J153" s="54">
        <f t="shared" si="8"/>
        <v>10.932727679999999</v>
      </c>
      <c r="K153" s="156">
        <f>SUM(J8*E153*F153)</f>
        <v>16377.226064640001</v>
      </c>
      <c r="P153" s="89">
        <f t="shared" si="6"/>
        <v>16049.6815433472</v>
      </c>
      <c r="R153" s="89">
        <f t="shared" si="7"/>
        <v>17734.898105398657</v>
      </c>
    </row>
    <row r="154" spans="1:20" x14ac:dyDescent="0.3">
      <c r="A154" s="92">
        <v>7.92</v>
      </c>
      <c r="B154" s="197">
        <v>1.2729999999999999</v>
      </c>
      <c r="C154" s="105"/>
      <c r="D154" s="157" t="s">
        <v>174</v>
      </c>
      <c r="E154" s="88">
        <v>7.92</v>
      </c>
      <c r="F154" s="68">
        <f>PRODUCT(B154,E135)+B154</f>
        <v>1.60398</v>
      </c>
      <c r="G154" s="140"/>
      <c r="H154" s="140"/>
      <c r="I154" s="140"/>
      <c r="J154" s="54">
        <f t="shared" si="8"/>
        <v>12.7035216</v>
      </c>
      <c r="K154" s="156">
        <f>SUM(J8*E154*F154)</f>
        <v>19029.875356799999</v>
      </c>
      <c r="P154" s="89">
        <f t="shared" si="6"/>
        <v>18649.277849663998</v>
      </c>
      <c r="R154" s="89">
        <f t="shared" si="7"/>
        <v>20607.452023878719</v>
      </c>
    </row>
    <row r="155" spans="1:20" x14ac:dyDescent="0.3">
      <c r="A155" s="92">
        <v>7.92</v>
      </c>
      <c r="B155" s="197">
        <v>1.2729999999999999</v>
      </c>
      <c r="C155" s="105" t="s">
        <v>52</v>
      </c>
      <c r="D155" s="84" t="s">
        <v>249</v>
      </c>
      <c r="E155" s="88">
        <v>7.92</v>
      </c>
      <c r="F155" s="68">
        <f>PRODUCT(B155,E135)+B155</f>
        <v>1.60398</v>
      </c>
      <c r="G155" s="140"/>
      <c r="H155" s="140"/>
      <c r="I155" s="140"/>
      <c r="J155" s="54">
        <f t="shared" si="8"/>
        <v>12.7035216</v>
      </c>
      <c r="K155" s="156">
        <f>SUM(J8*E155*F155)</f>
        <v>19029.875356799999</v>
      </c>
      <c r="P155" s="89">
        <f t="shared" si="6"/>
        <v>18649.277849663998</v>
      </c>
      <c r="R155" s="89">
        <f t="shared" si="7"/>
        <v>20607.452023878719</v>
      </c>
    </row>
    <row r="156" spans="1:20" x14ac:dyDescent="0.3">
      <c r="A156" s="92">
        <v>9.1199999999999992</v>
      </c>
      <c r="B156" s="197">
        <v>1.2729999999999999</v>
      </c>
      <c r="C156" s="105" t="s">
        <v>52</v>
      </c>
      <c r="D156" s="157" t="s">
        <v>132</v>
      </c>
      <c r="E156" s="88">
        <v>9.1620000000000008</v>
      </c>
      <c r="F156" s="68">
        <f>PRODUCT(B156,E135)+B156</f>
        <v>1.60398</v>
      </c>
      <c r="G156" s="140"/>
      <c r="H156" s="140"/>
      <c r="I156" s="140"/>
      <c r="J156" s="54">
        <f>SUM(E156*F156)</f>
        <v>14.695664760000001</v>
      </c>
      <c r="K156" s="156">
        <f>SUM(J8*E156*F156)</f>
        <v>22014.105810480003</v>
      </c>
      <c r="P156" s="89">
        <f t="shared" si="6"/>
        <v>21573.823694270402</v>
      </c>
      <c r="R156" s="89">
        <f t="shared" si="7"/>
        <v>23839.075182168795</v>
      </c>
    </row>
    <row r="157" spans="1:20" x14ac:dyDescent="0.3">
      <c r="A157" s="92">
        <v>9.1199999999999992</v>
      </c>
      <c r="B157" s="197">
        <v>1.2729999999999999</v>
      </c>
      <c r="C157" s="105" t="s">
        <v>52</v>
      </c>
      <c r="D157" s="157" t="s">
        <v>156</v>
      </c>
      <c r="E157" s="88">
        <v>9.1620000000000008</v>
      </c>
      <c r="F157" s="68">
        <f>PRODUCT(B157,E135)+B157</f>
        <v>1.60398</v>
      </c>
      <c r="G157" s="140"/>
      <c r="H157" s="140"/>
      <c r="I157" s="140"/>
      <c r="J157" s="54">
        <f>SUM(E157*F157)</f>
        <v>14.695664760000001</v>
      </c>
      <c r="K157" s="156">
        <f>SUM(J8*E157*F157)</f>
        <v>22014.105810480003</v>
      </c>
      <c r="P157" s="89">
        <f t="shared" si="6"/>
        <v>21573.823694270402</v>
      </c>
      <c r="R157" s="89">
        <f t="shared" si="7"/>
        <v>23839.075182168795</v>
      </c>
    </row>
    <row r="158" spans="1:20" x14ac:dyDescent="0.3">
      <c r="A158" s="92">
        <v>11.51</v>
      </c>
      <c r="B158" s="197">
        <v>1.2729999999999999</v>
      </c>
      <c r="C158" s="105"/>
      <c r="D158" s="157" t="s">
        <v>193</v>
      </c>
      <c r="E158" s="88">
        <v>11.513999999999999</v>
      </c>
      <c r="F158" s="68">
        <f>PRODUCT(B158,E135)+B158</f>
        <v>1.60398</v>
      </c>
      <c r="G158" s="140"/>
      <c r="H158" s="140"/>
      <c r="I158" s="140"/>
      <c r="J158" s="54">
        <f>SUM(E158*F158)</f>
        <v>18.46822572</v>
      </c>
      <c r="K158" s="156">
        <f>SUM(J8*E158*F158)</f>
        <v>27665.402128559996</v>
      </c>
      <c r="P158" s="89">
        <f t="shared" si="6"/>
        <v>27112.094085988796</v>
      </c>
      <c r="R158" s="89">
        <f t="shared" si="7"/>
        <v>29958.863965017619</v>
      </c>
    </row>
    <row r="159" spans="1:20" x14ac:dyDescent="0.3">
      <c r="A159" s="92">
        <v>11.51</v>
      </c>
      <c r="B159" s="197">
        <v>1.2729999999999999</v>
      </c>
      <c r="C159" s="105"/>
      <c r="D159" s="157" t="s">
        <v>157</v>
      </c>
      <c r="E159" s="88">
        <v>11.513999999999999</v>
      </c>
      <c r="F159" s="68">
        <f>PRODUCT(B159,E135)+B159</f>
        <v>1.60398</v>
      </c>
      <c r="G159" s="140"/>
      <c r="H159" s="140"/>
      <c r="I159" s="140"/>
      <c r="J159" s="54">
        <f>SUM(E159*F159)</f>
        <v>18.46822572</v>
      </c>
      <c r="K159" s="156">
        <f>SUM(J8*E159*F159)</f>
        <v>27665.402128559996</v>
      </c>
      <c r="P159" s="89">
        <f t="shared" si="6"/>
        <v>27112.094085988796</v>
      </c>
      <c r="R159" s="89">
        <f t="shared" si="7"/>
        <v>29958.863965017619</v>
      </c>
    </row>
    <row r="160" spans="1:20" x14ac:dyDescent="0.3">
      <c r="A160" s="92">
        <v>11.51</v>
      </c>
      <c r="B160" s="197">
        <v>1.2729999999999999</v>
      </c>
      <c r="C160" s="105"/>
      <c r="D160" s="157" t="s">
        <v>191</v>
      </c>
      <c r="E160" s="88">
        <v>11.513999999999999</v>
      </c>
      <c r="F160" s="68">
        <f>PRODUCT(B160,E135)+B160</f>
        <v>1.60398</v>
      </c>
      <c r="G160" s="140"/>
      <c r="H160" s="140"/>
      <c r="I160" s="140"/>
      <c r="J160" s="54">
        <f>SUM(E160*F160)</f>
        <v>18.46822572</v>
      </c>
      <c r="K160" s="156">
        <f>SUM(J8*E160*F160)</f>
        <v>27665.402128559996</v>
      </c>
      <c r="P160" s="89">
        <f t="shared" si="6"/>
        <v>27112.094085988796</v>
      </c>
      <c r="R160" s="89">
        <f t="shared" si="7"/>
        <v>29958.863965017619</v>
      </c>
    </row>
    <row r="161" spans="1:18" x14ac:dyDescent="0.3">
      <c r="A161" s="92">
        <v>13.83</v>
      </c>
      <c r="B161" s="197">
        <v>1.2729999999999999</v>
      </c>
      <c r="C161" s="105" t="s">
        <v>52</v>
      </c>
      <c r="D161" s="84" t="s">
        <v>117</v>
      </c>
      <c r="E161" s="88">
        <v>14</v>
      </c>
      <c r="F161" s="68">
        <f>PRODUCT(B161,E135)+B161</f>
        <v>1.60398</v>
      </c>
      <c r="G161" s="140"/>
      <c r="H161" s="140"/>
      <c r="I161" s="140"/>
      <c r="J161" s="54">
        <f t="shared" si="8"/>
        <v>22.455719999999999</v>
      </c>
      <c r="K161" s="156">
        <f>SUM(J8*E161*F161)</f>
        <v>33638.668559999998</v>
      </c>
      <c r="P161" s="89">
        <f t="shared" si="6"/>
        <v>32965.895188800001</v>
      </c>
      <c r="R161" s="89">
        <f t="shared" si="7"/>
        <v>36427.314183624003</v>
      </c>
    </row>
    <row r="162" spans="1:18" x14ac:dyDescent="0.3">
      <c r="A162" s="92">
        <v>13.83</v>
      </c>
      <c r="B162" s="197">
        <v>1.2729999999999999</v>
      </c>
      <c r="C162" s="105"/>
      <c r="D162" s="182" t="s">
        <v>192</v>
      </c>
      <c r="E162" s="107">
        <v>14</v>
      </c>
      <c r="F162" s="68">
        <f>PRODUCT(B162,E135)+B162</f>
        <v>1.60398</v>
      </c>
      <c r="G162" s="140"/>
      <c r="H162" s="140"/>
      <c r="I162" s="140"/>
      <c r="J162" s="54">
        <f t="shared" si="8"/>
        <v>22.455719999999999</v>
      </c>
      <c r="K162" s="156">
        <f>SUM(J8*E162*F162)</f>
        <v>33638.668559999998</v>
      </c>
      <c r="P162" s="89">
        <f t="shared" si="6"/>
        <v>32965.895188800001</v>
      </c>
      <c r="R162" s="89">
        <f t="shared" si="7"/>
        <v>36427.314183624003</v>
      </c>
    </row>
    <row r="163" spans="1:18" x14ac:dyDescent="0.3">
      <c r="A163" s="92">
        <v>16.22</v>
      </c>
      <c r="B163" s="197">
        <v>1.2729999999999999</v>
      </c>
      <c r="C163" s="105"/>
      <c r="D163" s="182" t="s">
        <v>216</v>
      </c>
      <c r="E163" s="107">
        <v>16.22</v>
      </c>
      <c r="F163" s="68">
        <f>PRODUCT(B163,E135)+B163</f>
        <v>1.60398</v>
      </c>
      <c r="G163" s="140"/>
      <c r="H163" s="140"/>
      <c r="I163" s="140"/>
      <c r="J163" s="54">
        <f t="shared" si="8"/>
        <v>26.016555599999997</v>
      </c>
      <c r="K163" s="156">
        <f>SUM(J8*E163*F163)</f>
        <v>38972.800288799997</v>
      </c>
      <c r="P163" s="89">
        <f t="shared" si="6"/>
        <v>38193.344283023995</v>
      </c>
      <c r="R163" s="89">
        <f t="shared" si="7"/>
        <v>42203.645432741512</v>
      </c>
    </row>
    <row r="164" spans="1:18" x14ac:dyDescent="0.3">
      <c r="A164" s="92">
        <v>2.15</v>
      </c>
      <c r="B164" s="197">
        <v>1.5640000000000001</v>
      </c>
      <c r="C164" s="105"/>
      <c r="D164" s="162" t="s">
        <v>355</v>
      </c>
      <c r="E164" s="107">
        <v>2.15</v>
      </c>
      <c r="F164" s="68">
        <f>PRODUCT(B164,E135)+B164</f>
        <v>1.9706399999999999</v>
      </c>
      <c r="G164" s="140"/>
      <c r="H164" s="140"/>
      <c r="I164" s="140"/>
      <c r="J164" s="54">
        <f t="shared" si="8"/>
        <v>4.2368759999999996</v>
      </c>
      <c r="K164" s="156">
        <f>SUM(J8*E164*F164)</f>
        <v>6346.8402479999995</v>
      </c>
      <c r="P164" s="89">
        <f t="shared" si="6"/>
        <v>6219.9034430399997</v>
      </c>
      <c r="R164" s="89">
        <f t="shared" si="7"/>
        <v>6872.9933045591997</v>
      </c>
    </row>
    <row r="165" spans="1:18" x14ac:dyDescent="0.3">
      <c r="A165" s="92">
        <v>2.7</v>
      </c>
      <c r="B165" s="197">
        <v>1.3859999999999999</v>
      </c>
      <c r="C165" s="105" t="s">
        <v>52</v>
      </c>
      <c r="D165" s="162" t="s">
        <v>140</v>
      </c>
      <c r="E165" s="107">
        <v>2.92</v>
      </c>
      <c r="F165" s="108">
        <f>PRODUCT(B165,E135)+B165</f>
        <v>1.7463599999999999</v>
      </c>
      <c r="G165" s="140"/>
      <c r="H165" s="140"/>
      <c r="I165" s="140"/>
      <c r="J165" s="109">
        <f>SUM(E165*F165)</f>
        <v>5.0993711999999993</v>
      </c>
      <c r="K165" s="163">
        <f>SUM(J8*E165*F165)</f>
        <v>7638.8580575999995</v>
      </c>
      <c r="P165" s="89">
        <f t="shared" si="6"/>
        <v>7486.0808964479993</v>
      </c>
      <c r="R165" s="89">
        <f t="shared" si="7"/>
        <v>8272.1193905750388</v>
      </c>
    </row>
    <row r="166" spans="1:18" ht="19.5" thickBot="1" x14ac:dyDescent="0.35">
      <c r="A166" s="92">
        <v>4.4649999999999999</v>
      </c>
      <c r="B166" s="197">
        <v>1.2729999999999999</v>
      </c>
      <c r="C166" s="105"/>
      <c r="D166" s="158" t="s">
        <v>154</v>
      </c>
      <c r="E166" s="159">
        <v>4.4649999999999999</v>
      </c>
      <c r="F166" s="160">
        <f>PRODUCT(B166,E135)+B166</f>
        <v>1.60398</v>
      </c>
      <c r="G166" s="164"/>
      <c r="H166" s="164"/>
      <c r="I166" s="164"/>
      <c r="J166" s="138">
        <f>SUM(E166*F166)</f>
        <v>7.1617706999999999</v>
      </c>
      <c r="K166" s="161">
        <f>SUM(J8*E166*F166)</f>
        <v>10728.332508599999</v>
      </c>
      <c r="P166" s="89">
        <f t="shared" si="6"/>
        <v>10513.765858427998</v>
      </c>
      <c r="R166" s="89">
        <f t="shared" si="7"/>
        <v>11617.711273562938</v>
      </c>
    </row>
    <row r="167" spans="1:18" x14ac:dyDescent="0.3">
      <c r="C167" s="105"/>
      <c r="P167" s="89" t="s">
        <v>52</v>
      </c>
    </row>
    <row r="168" spans="1:18" ht="19.5" thickBot="1" x14ac:dyDescent="0.35">
      <c r="C168" s="105"/>
      <c r="P168" s="89" t="s">
        <v>52</v>
      </c>
    </row>
    <row r="169" spans="1:18" ht="48" thickBot="1" x14ac:dyDescent="0.35">
      <c r="A169" s="167" t="s">
        <v>145</v>
      </c>
      <c r="B169" s="166" t="s">
        <v>139</v>
      </c>
      <c r="C169" s="105"/>
      <c r="D169" s="129" t="s">
        <v>128</v>
      </c>
      <c r="E169" s="148" t="s">
        <v>147</v>
      </c>
      <c r="F169" s="147" t="s">
        <v>137</v>
      </c>
      <c r="G169" s="133"/>
      <c r="H169" s="133"/>
      <c r="I169" s="133"/>
      <c r="J169" s="148" t="s">
        <v>136</v>
      </c>
      <c r="K169" s="149" t="s">
        <v>138</v>
      </c>
      <c r="P169" s="89" t="s">
        <v>52</v>
      </c>
    </row>
    <row r="170" spans="1:18" x14ac:dyDescent="0.3">
      <c r="A170" s="173">
        <v>5.64</v>
      </c>
      <c r="B170" s="197">
        <v>1.2729999999999999</v>
      </c>
      <c r="C170" s="105"/>
      <c r="D170" s="150" t="s">
        <v>167</v>
      </c>
      <c r="E170" s="193">
        <v>5.64</v>
      </c>
      <c r="F170" s="152">
        <f>PRODUCT(B170,E135)+B170</f>
        <v>1.60398</v>
      </c>
      <c r="G170" s="177"/>
      <c r="H170" s="177"/>
      <c r="I170" s="177"/>
      <c r="J170" s="154">
        <f t="shared" ref="J170:J173" si="10">SUM(E170*F170)</f>
        <v>9.0464471999999994</v>
      </c>
      <c r="K170" s="155">
        <f>SUM(J8*E170*F170)</f>
        <v>13551.577905599999</v>
      </c>
      <c r="P170" s="89">
        <f t="shared" si="6"/>
        <v>13280.546347488</v>
      </c>
      <c r="R170" s="89">
        <f>SUM(P170*1.105)</f>
        <v>14675.00371397424</v>
      </c>
    </row>
    <row r="171" spans="1:18" x14ac:dyDescent="0.3">
      <c r="A171" s="173">
        <v>7.05</v>
      </c>
      <c r="B171" s="197">
        <v>1.2729999999999999</v>
      </c>
      <c r="C171" s="105"/>
      <c r="D171" s="135" t="s">
        <v>173</v>
      </c>
      <c r="E171" s="175">
        <v>7.53</v>
      </c>
      <c r="F171" s="125">
        <f>PRODUCT(B171,E135)+B171</f>
        <v>1.60398</v>
      </c>
      <c r="G171" s="179"/>
      <c r="H171" s="179"/>
      <c r="I171" s="179"/>
      <c r="J171" s="54">
        <f t="shared" si="10"/>
        <v>12.077969400000001</v>
      </c>
      <c r="K171" s="174">
        <f>SUM(J8*E171*F171)</f>
        <v>18092.7981612</v>
      </c>
      <c r="P171" s="89">
        <f t="shared" ref="P171:P195" si="11">SUM(K171*0.98)</f>
        <v>17730.942197976001</v>
      </c>
      <c r="R171" s="89">
        <f t="shared" ref="R171:R181" si="12">SUM(P171*1.105)</f>
        <v>19592.691128763479</v>
      </c>
    </row>
    <row r="172" spans="1:18" x14ac:dyDescent="0.3">
      <c r="A172" s="92">
        <v>7.05</v>
      </c>
      <c r="B172" s="197">
        <v>1.2729999999999999</v>
      </c>
      <c r="C172" s="105" t="s">
        <v>52</v>
      </c>
      <c r="D172" s="135" t="s">
        <v>120</v>
      </c>
      <c r="E172" s="172">
        <v>7.53</v>
      </c>
      <c r="F172" s="125">
        <f>PRODUCT(B172,E135)+B172</f>
        <v>1.60398</v>
      </c>
      <c r="G172" s="140"/>
      <c r="H172" s="140"/>
      <c r="I172" s="140"/>
      <c r="J172" s="54">
        <f t="shared" si="10"/>
        <v>12.077969400000001</v>
      </c>
      <c r="K172" s="174">
        <f>SUM(J8*E172*F172)</f>
        <v>18092.7981612</v>
      </c>
      <c r="P172" s="89">
        <f t="shared" si="11"/>
        <v>17730.942197976001</v>
      </c>
      <c r="R172" s="89">
        <f t="shared" si="12"/>
        <v>19592.691128763479</v>
      </c>
    </row>
    <row r="173" spans="1:18" x14ac:dyDescent="0.3">
      <c r="A173" s="92">
        <v>8.56</v>
      </c>
      <c r="B173" s="197">
        <v>1.2729999999999999</v>
      </c>
      <c r="C173" s="105" t="s">
        <v>52</v>
      </c>
      <c r="D173" s="84" t="s">
        <v>119</v>
      </c>
      <c r="E173" s="88">
        <v>9.0500000000000007</v>
      </c>
      <c r="F173" s="68">
        <f>PRODUCT(B173,E135)+B173</f>
        <v>1.60398</v>
      </c>
      <c r="G173" s="140"/>
      <c r="H173" s="140"/>
      <c r="I173" s="140"/>
      <c r="J173" s="54">
        <f t="shared" si="10"/>
        <v>14.516019</v>
      </c>
      <c r="K173" s="156">
        <f>SUM(J8*E173*F173)</f>
        <v>21744.996462000003</v>
      </c>
      <c r="P173" s="89">
        <f t="shared" si="11"/>
        <v>21310.096532760002</v>
      </c>
      <c r="R173" s="89">
        <f t="shared" si="12"/>
        <v>23547.656668699801</v>
      </c>
    </row>
    <row r="174" spans="1:18" x14ac:dyDescent="0.3">
      <c r="A174" s="92">
        <v>8.56</v>
      </c>
      <c r="B174" s="197">
        <v>1.2729999999999999</v>
      </c>
      <c r="C174" s="105" t="s">
        <v>52</v>
      </c>
      <c r="D174" s="84" t="s">
        <v>125</v>
      </c>
      <c r="E174" s="88">
        <v>9.07</v>
      </c>
      <c r="F174" s="68">
        <f>PRODUCT(B174,E135)+B174</f>
        <v>1.60398</v>
      </c>
      <c r="G174" s="140"/>
      <c r="H174" s="140"/>
      <c r="I174" s="140"/>
      <c r="J174" s="54">
        <f t="shared" ref="J174:J195" si="13">SUM(E174*F174)</f>
        <v>14.548098599999999</v>
      </c>
      <c r="K174" s="156">
        <f>SUM(J8*E174*F174)</f>
        <v>21793.051702799999</v>
      </c>
      <c r="P174" s="89">
        <f t="shared" si="11"/>
        <v>21357.190668743999</v>
      </c>
      <c r="R174" s="89">
        <f t="shared" si="12"/>
        <v>23599.695688962118</v>
      </c>
    </row>
    <row r="175" spans="1:18" x14ac:dyDescent="0.3">
      <c r="A175" s="92">
        <v>11.646000000000001</v>
      </c>
      <c r="B175" s="197">
        <v>1.2729999999999999</v>
      </c>
      <c r="C175" s="105" t="s">
        <v>52</v>
      </c>
      <c r="D175" s="84" t="s">
        <v>118</v>
      </c>
      <c r="E175" s="88">
        <v>11.646000000000001</v>
      </c>
      <c r="F175" s="68">
        <f>PRODUCT(B175,E135)+B175</f>
        <v>1.60398</v>
      </c>
      <c r="G175" s="140"/>
      <c r="H175" s="140"/>
      <c r="I175" s="140"/>
      <c r="J175" s="54">
        <f t="shared" si="13"/>
        <v>18.679951080000002</v>
      </c>
      <c r="K175" s="156">
        <f>SUM(J8*E175*F175)</f>
        <v>27982.566717840004</v>
      </c>
      <c r="P175" s="89">
        <f t="shared" si="11"/>
        <v>27422.915383483203</v>
      </c>
      <c r="R175" s="89">
        <f t="shared" si="12"/>
        <v>30302.321498748937</v>
      </c>
    </row>
    <row r="176" spans="1:18" x14ac:dyDescent="0.3">
      <c r="A176" s="92">
        <v>10.06</v>
      </c>
      <c r="B176" s="197">
        <v>1.2729999999999999</v>
      </c>
      <c r="C176" s="105" t="s">
        <v>52</v>
      </c>
      <c r="D176" s="84" t="s">
        <v>121</v>
      </c>
      <c r="E176" s="88">
        <v>10.55</v>
      </c>
      <c r="F176" s="68">
        <f>PRODUCT(B176,E135)+B176</f>
        <v>1.60398</v>
      </c>
      <c r="G176" s="140"/>
      <c r="H176" s="140"/>
      <c r="I176" s="140"/>
      <c r="J176" s="54">
        <f t="shared" si="13"/>
        <v>16.921989</v>
      </c>
      <c r="K176" s="156">
        <f>SUM(J8*E176*F176)</f>
        <v>25349.139522000001</v>
      </c>
      <c r="P176" s="89">
        <f t="shared" si="11"/>
        <v>24842.15673156</v>
      </c>
      <c r="R176" s="89">
        <f t="shared" si="12"/>
        <v>27450.583188373799</v>
      </c>
    </row>
    <row r="177" spans="1:18" x14ac:dyDescent="0.3">
      <c r="A177" s="92">
        <v>10.06</v>
      </c>
      <c r="B177" s="197">
        <v>1.2729999999999999</v>
      </c>
      <c r="C177" s="105"/>
      <c r="D177" s="84" t="s">
        <v>276</v>
      </c>
      <c r="E177" s="88">
        <v>10.55</v>
      </c>
      <c r="F177" s="68">
        <f>PRODUCT(B177,E135)+B177</f>
        <v>1.60398</v>
      </c>
      <c r="G177" s="140"/>
      <c r="H177" s="140"/>
      <c r="I177" s="140"/>
      <c r="J177" s="54">
        <f t="shared" si="13"/>
        <v>16.921989</v>
      </c>
      <c r="K177" s="156">
        <f>SUM(J8*E177*F177)</f>
        <v>25349.139522000001</v>
      </c>
      <c r="P177" s="89">
        <f t="shared" si="11"/>
        <v>24842.15673156</v>
      </c>
      <c r="R177" s="89">
        <f t="shared" si="12"/>
        <v>27450.583188373799</v>
      </c>
    </row>
    <row r="178" spans="1:18" x14ac:dyDescent="0.3">
      <c r="A178" s="92">
        <v>11.646000000000001</v>
      </c>
      <c r="B178" s="197">
        <v>1.2729999999999999</v>
      </c>
      <c r="C178" s="105"/>
      <c r="D178" s="84" t="s">
        <v>274</v>
      </c>
      <c r="E178" s="88">
        <v>11.646000000000001</v>
      </c>
      <c r="F178" s="68">
        <f>PRODUCT(B178,E135)+B178</f>
        <v>1.60398</v>
      </c>
      <c r="G178" s="140"/>
      <c r="H178" s="140"/>
      <c r="I178" s="140"/>
      <c r="J178" s="54">
        <f t="shared" si="13"/>
        <v>18.679951080000002</v>
      </c>
      <c r="K178" s="156">
        <f>SUM(J8*E178*F178)</f>
        <v>27982.566717840004</v>
      </c>
      <c r="P178" s="89">
        <f t="shared" si="11"/>
        <v>27422.915383483203</v>
      </c>
      <c r="R178" s="89">
        <f t="shared" si="12"/>
        <v>30302.321498748937</v>
      </c>
    </row>
    <row r="179" spans="1:18" x14ac:dyDescent="0.3">
      <c r="A179" s="92">
        <v>11.646000000000001</v>
      </c>
      <c r="B179" s="197">
        <v>1.2729999999999999</v>
      </c>
      <c r="C179" s="105"/>
      <c r="D179" s="84" t="s">
        <v>214</v>
      </c>
      <c r="E179" s="88">
        <v>11.646000000000001</v>
      </c>
      <c r="F179" s="68">
        <f>PRODUCT(B179,E135)+B179</f>
        <v>1.60398</v>
      </c>
      <c r="G179" s="140"/>
      <c r="H179" s="140"/>
      <c r="I179" s="140"/>
      <c r="J179" s="54">
        <f t="shared" si="13"/>
        <v>18.679951080000002</v>
      </c>
      <c r="K179" s="156">
        <f>SUM(J8*E179*F179)</f>
        <v>27982.566717840004</v>
      </c>
      <c r="P179" s="89">
        <f t="shared" si="11"/>
        <v>27422.915383483203</v>
      </c>
      <c r="R179" s="89">
        <f t="shared" si="12"/>
        <v>30302.321498748937</v>
      </c>
    </row>
    <row r="180" spans="1:18" x14ac:dyDescent="0.3">
      <c r="A180" s="92">
        <v>14.59</v>
      </c>
      <c r="B180" s="197">
        <v>1.2729999999999999</v>
      </c>
      <c r="C180" s="105"/>
      <c r="D180" s="84" t="s">
        <v>165</v>
      </c>
      <c r="E180" s="88">
        <v>14.6</v>
      </c>
      <c r="F180" s="68">
        <f>PRODUCT(B180,E135)+B180</f>
        <v>1.60398</v>
      </c>
      <c r="G180" s="140"/>
      <c r="H180" s="140"/>
      <c r="I180" s="140"/>
      <c r="J180" s="54">
        <f t="shared" si="13"/>
        <v>23.418108</v>
      </c>
      <c r="K180" s="156">
        <f>SUM(J8*E180*F180)</f>
        <v>35080.325784000001</v>
      </c>
      <c r="P180" s="89">
        <f t="shared" si="11"/>
        <v>34378.719268319997</v>
      </c>
      <c r="R180" s="89">
        <f t="shared" si="12"/>
        <v>37988.484791493596</v>
      </c>
    </row>
    <row r="181" spans="1:18" x14ac:dyDescent="0.3">
      <c r="A181" s="92">
        <v>14.59</v>
      </c>
      <c r="B181" s="197">
        <v>1.2729999999999999</v>
      </c>
      <c r="C181" s="105"/>
      <c r="D181" s="84" t="s">
        <v>122</v>
      </c>
      <c r="E181" s="88">
        <v>14.6</v>
      </c>
      <c r="F181" s="68">
        <f>PRODUCT(B181,E135)+B181</f>
        <v>1.60398</v>
      </c>
      <c r="G181" s="140"/>
      <c r="H181" s="140"/>
      <c r="I181" s="140"/>
      <c r="J181" s="54">
        <f t="shared" si="13"/>
        <v>23.418108</v>
      </c>
      <c r="K181" s="156">
        <f>SUM(J8*E181*F181)</f>
        <v>35080.325784000001</v>
      </c>
      <c r="P181" s="89">
        <f t="shared" si="11"/>
        <v>34378.719268319997</v>
      </c>
      <c r="R181" s="89">
        <f t="shared" si="12"/>
        <v>37988.484791493596</v>
      </c>
    </row>
    <row r="182" spans="1:18" x14ac:dyDescent="0.3">
      <c r="A182" s="92">
        <v>17.600000000000001</v>
      </c>
      <c r="B182" s="197">
        <v>1.2729999999999999</v>
      </c>
      <c r="C182" s="105" t="s">
        <v>52</v>
      </c>
      <c r="D182" s="84" t="s">
        <v>123</v>
      </c>
      <c r="E182" s="88">
        <v>18.16</v>
      </c>
      <c r="F182" s="68">
        <f>PRODUCT(B182,E135)+B182</f>
        <v>1.60398</v>
      </c>
      <c r="G182" s="140"/>
      <c r="H182" s="140"/>
      <c r="I182" s="140"/>
      <c r="J182" s="54">
        <f t="shared" si="13"/>
        <v>29.128276799999998</v>
      </c>
      <c r="K182" s="156">
        <f>SUM(J8*E182*F182)</f>
        <v>43634.158646399999</v>
      </c>
      <c r="P182" s="89">
        <f t="shared" si="11"/>
        <v>42761.475473471997</v>
      </c>
      <c r="R182" s="89">
        <f>SUM(P182*1.105)</f>
        <v>47251.43039818656</v>
      </c>
    </row>
    <row r="183" spans="1:18" x14ac:dyDescent="0.3">
      <c r="A183" s="92">
        <v>20.62</v>
      </c>
      <c r="B183" s="197">
        <v>1.2729999999999999</v>
      </c>
      <c r="C183" s="105" t="s">
        <v>52</v>
      </c>
      <c r="D183" s="157" t="s">
        <v>124</v>
      </c>
      <c r="E183" s="88">
        <v>21</v>
      </c>
      <c r="F183" s="68">
        <f>PRODUCT(B183,E135)+B183</f>
        <v>1.60398</v>
      </c>
      <c r="G183" s="140"/>
      <c r="H183" s="140"/>
      <c r="I183" s="140"/>
      <c r="J183" s="54">
        <f t="shared" si="13"/>
        <v>33.683579999999999</v>
      </c>
      <c r="K183" s="156">
        <f>SUM(J8*E183*F183)</f>
        <v>50458.002840000001</v>
      </c>
      <c r="P183" s="89">
        <f t="shared" si="11"/>
        <v>49448.842783200002</v>
      </c>
      <c r="R183" s="89">
        <f t="shared" ref="R183:R195" si="14">SUM(P183*1.105)</f>
        <v>54640.971275436001</v>
      </c>
    </row>
    <row r="184" spans="1:18" x14ac:dyDescent="0.3">
      <c r="A184" s="92">
        <v>22.4</v>
      </c>
      <c r="B184" s="197">
        <v>1.2729999999999999</v>
      </c>
      <c r="C184" s="105"/>
      <c r="D184" s="157" t="s">
        <v>247</v>
      </c>
      <c r="E184" s="88">
        <v>22.4</v>
      </c>
      <c r="F184" s="68">
        <f>PRODUCT(B184,E135)+B184</f>
        <v>1.60398</v>
      </c>
      <c r="G184" s="140"/>
      <c r="H184" s="140"/>
      <c r="I184" s="140"/>
      <c r="J184" s="54">
        <f t="shared" si="13"/>
        <v>35.929151999999995</v>
      </c>
      <c r="K184" s="156">
        <f>SUM(J8*E184*F184)</f>
        <v>53821.869695999994</v>
      </c>
      <c r="P184" s="89">
        <f t="shared" si="11"/>
        <v>52745.432302079993</v>
      </c>
      <c r="R184" s="89">
        <f t="shared" si="14"/>
        <v>58283.70269379839</v>
      </c>
    </row>
    <row r="185" spans="1:18" x14ac:dyDescent="0.3">
      <c r="A185" s="92">
        <v>24.3</v>
      </c>
      <c r="B185" s="197">
        <v>1.2729999999999999</v>
      </c>
      <c r="C185" s="105"/>
      <c r="D185" s="157" t="s">
        <v>307</v>
      </c>
      <c r="E185" s="88">
        <v>24.3</v>
      </c>
      <c r="F185" s="68">
        <f>PRODUCT(B185,E135)+B185</f>
        <v>1.60398</v>
      </c>
      <c r="G185" s="140"/>
      <c r="H185" s="140"/>
      <c r="I185" s="140"/>
      <c r="J185" s="54">
        <f t="shared" si="13"/>
        <v>38.976714000000001</v>
      </c>
      <c r="K185" s="156">
        <f>SUM(J8*E185*F185)</f>
        <v>58387.117572000003</v>
      </c>
      <c r="P185" s="89">
        <f t="shared" si="11"/>
        <v>57219.375220560003</v>
      </c>
      <c r="R185" s="89">
        <f t="shared" si="14"/>
        <v>63227.409618718804</v>
      </c>
    </row>
    <row r="186" spans="1:18" x14ac:dyDescent="0.3">
      <c r="A186" s="92">
        <v>29.7</v>
      </c>
      <c r="B186" s="197">
        <v>1.2729999999999999</v>
      </c>
      <c r="C186" s="105"/>
      <c r="D186" s="157" t="s">
        <v>166</v>
      </c>
      <c r="E186" s="88">
        <v>29.7</v>
      </c>
      <c r="F186" s="68">
        <f>PRODUCT(B186,E135)+B186</f>
        <v>1.60398</v>
      </c>
      <c r="G186" s="140"/>
      <c r="H186" s="140"/>
      <c r="I186" s="140"/>
      <c r="J186" s="54">
        <f t="shared" si="13"/>
        <v>47.638205999999997</v>
      </c>
      <c r="K186" s="156">
        <f>SUM(J8*E186*F186)</f>
        <v>71362.032588000002</v>
      </c>
      <c r="P186" s="89">
        <f t="shared" si="11"/>
        <v>69934.791936239999</v>
      </c>
      <c r="R186" s="89">
        <f t="shared" si="14"/>
        <v>77277.945089545203</v>
      </c>
    </row>
    <row r="187" spans="1:18" x14ac:dyDescent="0.3">
      <c r="A187" s="92">
        <v>3.37</v>
      </c>
      <c r="B187" s="197">
        <v>1.3859999999999999</v>
      </c>
      <c r="C187" s="105" t="s">
        <v>52</v>
      </c>
      <c r="D187" s="187" t="s">
        <v>208</v>
      </c>
      <c r="E187" s="88">
        <v>3.78</v>
      </c>
      <c r="F187" s="68">
        <f>PRODUCT(B187,E135)+B187</f>
        <v>1.7463599999999999</v>
      </c>
      <c r="G187" s="140"/>
      <c r="H187" s="140"/>
      <c r="I187" s="140"/>
      <c r="J187" s="54">
        <f t="shared" si="13"/>
        <v>6.6012407999999994</v>
      </c>
      <c r="K187" s="156">
        <f>SUM(J8*E187*F187)</f>
        <v>9888.6587183999982</v>
      </c>
      <c r="P187" s="89">
        <f t="shared" si="11"/>
        <v>9690.8855440319985</v>
      </c>
      <c r="R187" s="89">
        <f t="shared" si="14"/>
        <v>10708.428526155358</v>
      </c>
    </row>
    <row r="188" spans="1:18" x14ac:dyDescent="0.3">
      <c r="A188" s="92">
        <v>4.1340000000000003</v>
      </c>
      <c r="B188" s="197">
        <v>1.2849999999999999</v>
      </c>
      <c r="C188" s="105"/>
      <c r="D188" s="187" t="s">
        <v>256</v>
      </c>
      <c r="E188" s="107">
        <v>4.18</v>
      </c>
      <c r="F188" s="68">
        <f>PRODUCT(B188,E135)+B188</f>
        <v>1.6191</v>
      </c>
      <c r="G188" s="140"/>
      <c r="H188" s="140"/>
      <c r="I188" s="140"/>
      <c r="J188" s="54">
        <f t="shared" si="13"/>
        <v>6.7678379999999994</v>
      </c>
      <c r="K188" s="156">
        <f>SUM(J8*E188*F188)</f>
        <v>10138.221323999998</v>
      </c>
      <c r="P188" s="89">
        <f t="shared" si="11"/>
        <v>9935.4568975199982</v>
      </c>
      <c r="R188" s="89">
        <f t="shared" si="14"/>
        <v>10978.679871759598</v>
      </c>
    </row>
    <row r="189" spans="1:18" x14ac:dyDescent="0.3">
      <c r="A189" s="92">
        <v>4.8899999999999997</v>
      </c>
      <c r="B189" s="197">
        <v>1.2729999999999999</v>
      </c>
      <c r="C189" s="105"/>
      <c r="D189" s="162" t="s">
        <v>250</v>
      </c>
      <c r="E189" s="107">
        <v>4.8899999999999997</v>
      </c>
      <c r="F189" s="108">
        <v>1.619</v>
      </c>
      <c r="G189" s="140"/>
      <c r="H189" s="140"/>
      <c r="I189" s="140"/>
      <c r="J189" s="54">
        <f t="shared" si="13"/>
        <v>7.9169099999999997</v>
      </c>
      <c r="K189" s="156">
        <f>SUM(J8*E189*F189)</f>
        <v>11859.531179999998</v>
      </c>
      <c r="P189" s="89">
        <f t="shared" si="11"/>
        <v>11622.340556399999</v>
      </c>
      <c r="R189" s="89">
        <f t="shared" si="14"/>
        <v>12842.686314821998</v>
      </c>
    </row>
    <row r="190" spans="1:18" x14ac:dyDescent="0.3">
      <c r="A190" s="92">
        <v>5.63</v>
      </c>
      <c r="B190" s="197">
        <v>1.2729999999999999</v>
      </c>
      <c r="C190" s="105" t="s">
        <v>52</v>
      </c>
      <c r="D190" s="231" t="s">
        <v>336</v>
      </c>
      <c r="E190" s="107">
        <v>5.99</v>
      </c>
      <c r="F190" s="108">
        <f>PRODUCT(B190,E135)+B190</f>
        <v>1.60398</v>
      </c>
      <c r="G190" s="140"/>
      <c r="H190" s="140"/>
      <c r="I190" s="140"/>
      <c r="J190" s="109">
        <f t="shared" si="13"/>
        <v>9.6078402000000001</v>
      </c>
      <c r="K190" s="163">
        <f>SUM(J8*E190*F190)</f>
        <v>14392.544619600001</v>
      </c>
      <c r="P190" s="89">
        <f t="shared" si="11"/>
        <v>14104.693727208001</v>
      </c>
      <c r="R190" s="89">
        <f t="shared" si="14"/>
        <v>15585.686568564841</v>
      </c>
    </row>
    <row r="191" spans="1:18" x14ac:dyDescent="0.3">
      <c r="A191" s="92">
        <v>7.14</v>
      </c>
      <c r="B191" s="197">
        <v>1.2729999999999999</v>
      </c>
      <c r="C191" s="105" t="s">
        <v>52</v>
      </c>
      <c r="D191" s="162" t="s">
        <v>161</v>
      </c>
      <c r="E191" s="88">
        <v>7.14</v>
      </c>
      <c r="F191" s="108">
        <f>PRODUCT(B191,E135)+B191</f>
        <v>1.60398</v>
      </c>
      <c r="G191" s="171"/>
      <c r="H191" s="171"/>
      <c r="I191" s="171"/>
      <c r="J191" s="109">
        <f t="shared" si="13"/>
        <v>11.452417199999999</v>
      </c>
      <c r="K191" s="163">
        <f>SUM(J8*E191*F191)</f>
        <v>17155.720965599998</v>
      </c>
      <c r="P191" s="89">
        <f t="shared" si="11"/>
        <v>16812.606546287996</v>
      </c>
      <c r="R191" s="89">
        <f t="shared" si="14"/>
        <v>18577.930233648236</v>
      </c>
    </row>
    <row r="192" spans="1:18" x14ac:dyDescent="0.3">
      <c r="A192" s="92">
        <v>8.64</v>
      </c>
      <c r="B192" s="197">
        <v>1.2729999999999999</v>
      </c>
      <c r="C192" s="105"/>
      <c r="D192" s="162" t="s">
        <v>160</v>
      </c>
      <c r="E192" s="88">
        <v>8.64</v>
      </c>
      <c r="F192" s="108">
        <f>PRODUCT(B192,E135)+B192</f>
        <v>1.60398</v>
      </c>
      <c r="G192" s="171"/>
      <c r="H192" s="171"/>
      <c r="I192" s="171"/>
      <c r="J192" s="109">
        <f t="shared" si="13"/>
        <v>13.858387200000001</v>
      </c>
      <c r="K192" s="163">
        <f>SUM(J8*E192*F192)</f>
        <v>20759.8640256</v>
      </c>
      <c r="P192" s="89">
        <f t="shared" si="11"/>
        <v>20344.666745087998</v>
      </c>
      <c r="R192" s="89">
        <f t="shared" si="14"/>
        <v>22480.856753322238</v>
      </c>
    </row>
    <row r="193" spans="1:18" x14ac:dyDescent="0.3">
      <c r="A193" s="92">
        <v>10.15</v>
      </c>
      <c r="B193" s="197">
        <v>1.2729999999999999</v>
      </c>
      <c r="C193" s="105"/>
      <c r="D193" s="162" t="s">
        <v>172</v>
      </c>
      <c r="E193" s="107">
        <v>10.15</v>
      </c>
      <c r="F193" s="108">
        <f>PRODUCT(B193,E135)+B193</f>
        <v>1.60398</v>
      </c>
      <c r="G193" s="178"/>
      <c r="H193" s="178"/>
      <c r="I193" s="178"/>
      <c r="J193" s="109">
        <f t="shared" si="13"/>
        <v>16.280397000000001</v>
      </c>
      <c r="K193" s="163">
        <f>SUM(J8*E193*F193)</f>
        <v>24388.034706000002</v>
      </c>
      <c r="P193" s="89">
        <f t="shared" si="11"/>
        <v>23900.274011880003</v>
      </c>
      <c r="R193" s="89">
        <f t="shared" si="14"/>
        <v>26409.802783127401</v>
      </c>
    </row>
    <row r="194" spans="1:18" ht="19.5" thickBot="1" x14ac:dyDescent="0.35">
      <c r="A194" s="92">
        <v>11.65</v>
      </c>
      <c r="B194" s="197">
        <v>1.2729999999999999</v>
      </c>
      <c r="C194" s="105"/>
      <c r="D194" s="162" t="s">
        <v>213</v>
      </c>
      <c r="E194" s="107">
        <v>11.65</v>
      </c>
      <c r="F194" s="108">
        <f>PRODUCT(B194,E135)+B194</f>
        <v>1.60398</v>
      </c>
      <c r="G194" s="164"/>
      <c r="H194" s="164"/>
      <c r="I194" s="164"/>
      <c r="J194" s="109">
        <f t="shared" si="13"/>
        <v>18.686367000000001</v>
      </c>
      <c r="K194" s="163">
        <f>SUM(J8*E194*F194)</f>
        <v>27992.177766000001</v>
      </c>
      <c r="P194" s="89">
        <f t="shared" si="11"/>
        <v>27432.334210680001</v>
      </c>
      <c r="R194" s="89">
        <f t="shared" si="14"/>
        <v>30312.729302801399</v>
      </c>
    </row>
    <row r="195" spans="1:18" ht="19.5" thickBot="1" x14ac:dyDescent="0.35">
      <c r="A195" s="92">
        <v>14.59</v>
      </c>
      <c r="B195" s="197">
        <v>1.2729999999999999</v>
      </c>
      <c r="C195" s="105"/>
      <c r="D195" s="162" t="s">
        <v>217</v>
      </c>
      <c r="E195" s="159">
        <v>14.6</v>
      </c>
      <c r="F195" s="108">
        <f>PRODUCT(B195,E135)+B195</f>
        <v>1.60398</v>
      </c>
      <c r="G195" s="145"/>
      <c r="H195" s="145"/>
      <c r="I195" s="145"/>
      <c r="J195" s="109">
        <f t="shared" si="13"/>
        <v>23.418108</v>
      </c>
      <c r="K195" s="163">
        <f>SUM(J8*E195*F195)</f>
        <v>35080.325784000001</v>
      </c>
      <c r="P195" s="89">
        <f t="shared" si="11"/>
        <v>34378.719268319997</v>
      </c>
      <c r="R195" s="89">
        <f t="shared" si="14"/>
        <v>37988.484791493596</v>
      </c>
    </row>
    <row r="196" spans="1:18" ht="48" thickBot="1" x14ac:dyDescent="0.35">
      <c r="A196" s="167" t="s">
        <v>145</v>
      </c>
      <c r="B196" s="166" t="s">
        <v>139</v>
      </c>
      <c r="C196" s="105"/>
      <c r="D196" s="194" t="s">
        <v>128</v>
      </c>
      <c r="E196" s="192" t="s">
        <v>147</v>
      </c>
      <c r="F196" s="192" t="s">
        <v>137</v>
      </c>
      <c r="G196" s="140"/>
      <c r="H196" s="140"/>
      <c r="I196" s="140"/>
      <c r="J196" s="148" t="s">
        <v>136</v>
      </c>
      <c r="K196" s="148" t="s">
        <v>138</v>
      </c>
    </row>
    <row r="197" spans="1:18" x14ac:dyDescent="0.3">
      <c r="A197" s="173">
        <v>10.8</v>
      </c>
      <c r="B197" s="202">
        <v>1.1779999999999999</v>
      </c>
      <c r="C197" s="105"/>
      <c r="D197" s="135" t="s">
        <v>168</v>
      </c>
      <c r="E197" s="176">
        <v>10.8</v>
      </c>
      <c r="F197" s="68">
        <f>PRODUCT(B197,E135)+B197</f>
        <v>1.48428</v>
      </c>
      <c r="G197" s="177"/>
      <c r="H197" s="177"/>
      <c r="I197" s="177"/>
      <c r="J197" s="124">
        <f t="shared" ref="J197:J212" si="15">SUM(E197*F197)</f>
        <v>16.030224</v>
      </c>
      <c r="K197" s="174">
        <f>SUM(J8*E197*F197)</f>
        <v>24013.275552000003</v>
      </c>
      <c r="P197" s="89">
        <f>SUM(K197*0.99)</f>
        <v>23773.142796480002</v>
      </c>
      <c r="R197" s="89">
        <f>SUM(P197*1.105)</f>
        <v>26269.322790110404</v>
      </c>
    </row>
    <row r="198" spans="1:18" x14ac:dyDescent="0.3">
      <c r="A198" s="92">
        <v>14.44</v>
      </c>
      <c r="B198" s="202">
        <v>1.1779999999999999</v>
      </c>
      <c r="C198" s="105" t="s">
        <v>52</v>
      </c>
      <c r="D198" s="84" t="s">
        <v>162</v>
      </c>
      <c r="E198" s="88">
        <v>14.44</v>
      </c>
      <c r="F198" s="68">
        <f>PRODUCT(B198,E135)+B198</f>
        <v>1.48428</v>
      </c>
      <c r="G198" s="171"/>
      <c r="H198" s="171"/>
      <c r="I198" s="171"/>
      <c r="J198" s="54">
        <f t="shared" si="15"/>
        <v>21.433003199999998</v>
      </c>
      <c r="K198" s="156">
        <f>SUM(J8*E198*F198)</f>
        <v>32106.638793599999</v>
      </c>
      <c r="P198" s="89">
        <f t="shared" ref="P198:P212" si="16">SUM(K198*0.99)</f>
        <v>31785.572405663999</v>
      </c>
      <c r="R198" s="89">
        <f t="shared" ref="R198:R212" si="17">SUM(P198*1.105)</f>
        <v>35123.057508258717</v>
      </c>
    </row>
    <row r="199" spans="1:18" x14ac:dyDescent="0.3">
      <c r="A199" s="92">
        <v>18.899999999999999</v>
      </c>
      <c r="B199" s="202">
        <v>1.1779999999999999</v>
      </c>
      <c r="C199" s="105"/>
      <c r="D199" s="135" t="s">
        <v>205</v>
      </c>
      <c r="E199" s="172">
        <v>18.899999999999999</v>
      </c>
      <c r="F199" s="68">
        <f>PRODUCT(B199,E135)+B199</f>
        <v>1.48428</v>
      </c>
      <c r="G199" s="140"/>
      <c r="H199" s="140"/>
      <c r="I199" s="140"/>
      <c r="J199" s="54">
        <f t="shared" si="15"/>
        <v>28.052892</v>
      </c>
      <c r="K199" s="156">
        <f>SUM(J8*E199*F199)</f>
        <v>42023.232215999997</v>
      </c>
      <c r="P199" s="89">
        <f t="shared" si="16"/>
        <v>41602.999893839995</v>
      </c>
      <c r="R199" s="89">
        <f t="shared" si="17"/>
        <v>45971.314882693194</v>
      </c>
    </row>
    <row r="200" spans="1:18" x14ac:dyDescent="0.3">
      <c r="A200" s="92">
        <v>18.899999999999999</v>
      </c>
      <c r="B200" s="202">
        <v>1.1779999999999999</v>
      </c>
      <c r="C200" s="105"/>
      <c r="D200" s="135" t="s">
        <v>134</v>
      </c>
      <c r="E200" s="172">
        <v>18.899999999999999</v>
      </c>
      <c r="F200" s="125">
        <f>PRODUCT(B200,E135)+B200</f>
        <v>1.48428</v>
      </c>
      <c r="G200" s="140"/>
      <c r="H200" s="140"/>
      <c r="I200" s="140"/>
      <c r="J200" s="124">
        <f t="shared" si="15"/>
        <v>28.052892</v>
      </c>
      <c r="K200" s="174">
        <f>SUM(J8*E200*F200)</f>
        <v>42023.232215999997</v>
      </c>
      <c r="P200" s="89">
        <f t="shared" si="16"/>
        <v>41602.999893839995</v>
      </c>
      <c r="R200" s="89">
        <f t="shared" si="17"/>
        <v>45971.314882693194</v>
      </c>
    </row>
    <row r="201" spans="1:18" x14ac:dyDescent="0.3">
      <c r="A201" s="92">
        <v>16.32</v>
      </c>
      <c r="B201" s="202">
        <v>1.1779999999999999</v>
      </c>
      <c r="C201" s="105"/>
      <c r="D201" s="135" t="s">
        <v>261</v>
      </c>
      <c r="E201" s="172">
        <v>16.32</v>
      </c>
      <c r="F201" s="125">
        <v>1.4370000000000001</v>
      </c>
      <c r="G201" s="140"/>
      <c r="H201" s="140"/>
      <c r="I201" s="140"/>
      <c r="J201" s="124">
        <f t="shared" si="15"/>
        <v>23.451840000000001</v>
      </c>
      <c r="K201" s="174">
        <f>SUM(J8*E201*F201)</f>
        <v>35130.856319999999</v>
      </c>
      <c r="P201" s="89">
        <f t="shared" si="16"/>
        <v>34779.547756799999</v>
      </c>
      <c r="R201" s="89">
        <f t="shared" si="17"/>
        <v>38431.400271263999</v>
      </c>
    </row>
    <row r="202" spans="1:18" x14ac:dyDescent="0.3">
      <c r="A202" s="92">
        <v>21.85</v>
      </c>
      <c r="B202" s="200">
        <v>1.1779999999999999</v>
      </c>
      <c r="D202" s="84" t="s">
        <v>130</v>
      </c>
      <c r="E202" s="88">
        <v>22.75</v>
      </c>
      <c r="F202" s="68">
        <f>PRODUCT(B202,E135)+B202</f>
        <v>1.48428</v>
      </c>
      <c r="G202" s="140"/>
      <c r="H202" s="140"/>
      <c r="I202" s="140"/>
      <c r="J202" s="54">
        <f t="shared" si="15"/>
        <v>33.76737</v>
      </c>
      <c r="K202" s="156">
        <f>SUM(J8*E202*F202)</f>
        <v>50583.520260000005</v>
      </c>
      <c r="P202" s="89">
        <f t="shared" si="16"/>
        <v>50077.685057400005</v>
      </c>
      <c r="R202" s="89">
        <f t="shared" si="17"/>
        <v>55335.841988427004</v>
      </c>
    </row>
    <row r="203" spans="1:18" x14ac:dyDescent="0.3">
      <c r="A203" s="92">
        <v>37</v>
      </c>
      <c r="B203" s="200">
        <v>1.1779999999999999</v>
      </c>
      <c r="D203" s="84" t="s">
        <v>275</v>
      </c>
      <c r="E203" s="88">
        <v>37</v>
      </c>
      <c r="F203" s="68">
        <f>PRODUCT(B203,E135)+B203</f>
        <v>1.48428</v>
      </c>
      <c r="G203" s="140"/>
      <c r="H203" s="140"/>
      <c r="I203" s="140"/>
      <c r="J203" s="54">
        <f t="shared" si="15"/>
        <v>54.91836</v>
      </c>
      <c r="K203" s="156">
        <f>SUM(J8*E203*F203)</f>
        <v>82267.703280000002</v>
      </c>
      <c r="P203" s="89">
        <f t="shared" si="16"/>
        <v>81445.026247200003</v>
      </c>
      <c r="R203" s="89">
        <f t="shared" si="17"/>
        <v>89996.754003156006</v>
      </c>
    </row>
    <row r="204" spans="1:18" x14ac:dyDescent="0.3">
      <c r="A204" s="92">
        <v>5.9880000000000004</v>
      </c>
      <c r="B204" s="201">
        <v>1.2</v>
      </c>
      <c r="D204" s="84" t="s">
        <v>206</v>
      </c>
      <c r="E204" s="88">
        <v>5.9880000000000004</v>
      </c>
      <c r="F204" s="68">
        <f>PRODUCT(B204,E135)+B204</f>
        <v>1.512</v>
      </c>
      <c r="G204" s="140"/>
      <c r="H204" s="140"/>
      <c r="I204" s="140"/>
      <c r="J204" s="54">
        <f t="shared" si="15"/>
        <v>9.0538560000000015</v>
      </c>
      <c r="K204" s="156">
        <f>SUM(J8*E204*F204)</f>
        <v>13562.676288000002</v>
      </c>
      <c r="P204" s="89">
        <f t="shared" si="16"/>
        <v>13427.049525120003</v>
      </c>
      <c r="R204" s="89">
        <f t="shared" si="17"/>
        <v>14836.889725257603</v>
      </c>
    </row>
    <row r="205" spans="1:18" x14ac:dyDescent="0.3">
      <c r="A205" s="92">
        <v>6.9240000000000004</v>
      </c>
      <c r="B205" s="200">
        <v>1.1879999999999999</v>
      </c>
      <c r="C205" s="105"/>
      <c r="D205" s="84" t="s">
        <v>158</v>
      </c>
      <c r="E205" s="88">
        <v>6.94</v>
      </c>
      <c r="F205" s="68">
        <f>PRODUCT(B205,E135)+B205</f>
        <v>1.49688</v>
      </c>
      <c r="G205" s="140"/>
      <c r="H205" s="140"/>
      <c r="I205" s="140"/>
      <c r="J205" s="54">
        <f t="shared" si="15"/>
        <v>10.3883472</v>
      </c>
      <c r="K205" s="156">
        <f>SUM(J8*E205*F205)</f>
        <v>15561.744105600001</v>
      </c>
      <c r="P205" s="89">
        <f t="shared" si="16"/>
        <v>15406.126664544001</v>
      </c>
      <c r="R205" s="89">
        <f t="shared" si="17"/>
        <v>17023.76996432112</v>
      </c>
    </row>
    <row r="206" spans="1:18" x14ac:dyDescent="0.3">
      <c r="A206" s="92">
        <v>8.8019999999999996</v>
      </c>
      <c r="B206" s="200">
        <v>1.1879999999999999</v>
      </c>
      <c r="C206" s="105"/>
      <c r="D206" s="84" t="s">
        <v>207</v>
      </c>
      <c r="E206" s="88">
        <v>8.8019999999999996</v>
      </c>
      <c r="F206" s="68">
        <f>PRODUCT(B206,E135)+B206</f>
        <v>1.49688</v>
      </c>
      <c r="G206" s="140"/>
      <c r="H206" s="140"/>
      <c r="I206" s="140"/>
      <c r="J206" s="54">
        <f t="shared" si="15"/>
        <v>13.175537759999999</v>
      </c>
      <c r="K206" s="156">
        <f>SUM(J8*E206*F206)</f>
        <v>19736.955564479998</v>
      </c>
      <c r="P206" s="89">
        <f t="shared" si="16"/>
        <v>19539.586008835198</v>
      </c>
      <c r="R206" s="89">
        <f t="shared" si="17"/>
        <v>21591.242539762894</v>
      </c>
    </row>
    <row r="207" spans="1:18" x14ac:dyDescent="0.3">
      <c r="A207" s="92">
        <v>37</v>
      </c>
      <c r="B207" s="200">
        <v>1.1879999999999999</v>
      </c>
      <c r="C207" s="105"/>
      <c r="D207" s="84" t="s">
        <v>270</v>
      </c>
      <c r="E207" s="88">
        <v>37</v>
      </c>
      <c r="F207" s="68">
        <v>1.42</v>
      </c>
      <c r="G207" s="140"/>
      <c r="H207" s="140"/>
      <c r="I207" s="140"/>
      <c r="J207" s="54">
        <f t="shared" si="15"/>
        <v>52.54</v>
      </c>
      <c r="K207" s="156">
        <f>SUM(J8*E207*F207)</f>
        <v>78704.92</v>
      </c>
      <c r="P207" s="89">
        <f t="shared" si="16"/>
        <v>77917.870800000004</v>
      </c>
      <c r="R207" s="89">
        <f t="shared" si="17"/>
        <v>86099.247234000009</v>
      </c>
    </row>
    <row r="208" spans="1:18" x14ac:dyDescent="0.3">
      <c r="A208" s="92">
        <v>26.94</v>
      </c>
      <c r="B208" s="197">
        <v>1.085</v>
      </c>
      <c r="C208" s="105"/>
      <c r="D208" s="84" t="s">
        <v>150</v>
      </c>
      <c r="E208" s="88">
        <v>26.94</v>
      </c>
      <c r="F208" s="68">
        <f>PRODUCT(B208,E135)+B208</f>
        <v>1.3671</v>
      </c>
      <c r="G208" s="140"/>
      <c r="H208" s="140"/>
      <c r="I208" s="140"/>
      <c r="J208" s="54">
        <f t="shared" si="15"/>
        <v>36.829674000000004</v>
      </c>
      <c r="K208" s="156">
        <f>SUM(J8*E208*F208)</f>
        <v>55170.851652000005</v>
      </c>
      <c r="P208" s="89">
        <f t="shared" si="16"/>
        <v>54619.143135480008</v>
      </c>
      <c r="R208" s="89">
        <f t="shared" si="17"/>
        <v>60354.153164705407</v>
      </c>
    </row>
    <row r="209" spans="1:18" x14ac:dyDescent="0.3">
      <c r="A209" s="92">
        <v>35.94</v>
      </c>
      <c r="B209" s="197">
        <v>1.085</v>
      </c>
      <c r="C209" s="105"/>
      <c r="D209" s="84" t="s">
        <v>151</v>
      </c>
      <c r="E209" s="88">
        <v>35.94</v>
      </c>
      <c r="F209" s="68">
        <f>PRODUCT(B209,E135)+B209</f>
        <v>1.3671</v>
      </c>
      <c r="G209" s="140"/>
      <c r="H209" s="140"/>
      <c r="I209" s="140"/>
      <c r="J209" s="54">
        <f t="shared" si="15"/>
        <v>49.133573999999996</v>
      </c>
      <c r="K209" s="156">
        <f>SUM(J8*E209*F209)</f>
        <v>73602.093851999991</v>
      </c>
      <c r="P209" s="89">
        <f t="shared" si="16"/>
        <v>72866.072913479991</v>
      </c>
      <c r="R209" s="89">
        <f t="shared" si="17"/>
        <v>80517.010569395396</v>
      </c>
    </row>
    <row r="210" spans="1:18" x14ac:dyDescent="0.3">
      <c r="A210" s="92">
        <v>34.57</v>
      </c>
      <c r="B210" s="203">
        <v>1.07</v>
      </c>
      <c r="C210" s="105"/>
      <c r="D210" s="84" t="s">
        <v>179</v>
      </c>
      <c r="E210" s="88">
        <v>34.57</v>
      </c>
      <c r="F210" s="68">
        <f>PRODUCT(B210,E135)+B210</f>
        <v>1.3482000000000001</v>
      </c>
      <c r="G210" s="140"/>
      <c r="H210" s="140"/>
      <c r="I210" s="140"/>
      <c r="J210" s="54">
        <f t="shared" si="15"/>
        <v>46.607274000000004</v>
      </c>
      <c r="K210" s="156">
        <f>SUM(J8*E210*F210)</f>
        <v>69817.696452000004</v>
      </c>
      <c r="P210" s="89">
        <f t="shared" si="16"/>
        <v>69119.519487480007</v>
      </c>
      <c r="R210" s="89">
        <f t="shared" si="17"/>
        <v>76377.069033665408</v>
      </c>
    </row>
    <row r="211" spans="1:18" x14ac:dyDescent="0.3">
      <c r="A211" s="92">
        <v>46.62</v>
      </c>
      <c r="B211" s="203">
        <v>1.07</v>
      </c>
      <c r="C211" s="105"/>
      <c r="D211" s="165" t="s">
        <v>308</v>
      </c>
      <c r="E211" s="88">
        <v>46.62</v>
      </c>
      <c r="F211" s="68">
        <f>PRODUCT(B211,E135)+B211</f>
        <v>1.3482000000000001</v>
      </c>
      <c r="G211" s="140"/>
      <c r="H211" s="140"/>
      <c r="I211" s="140"/>
      <c r="J211" s="54">
        <f t="shared" si="15"/>
        <v>62.853084000000003</v>
      </c>
      <c r="K211" s="156">
        <f>SUM(J8*E211*F211)</f>
        <v>94153.919832</v>
      </c>
      <c r="L211" s="53"/>
      <c r="P211" s="89">
        <f t="shared" si="16"/>
        <v>93212.380633680004</v>
      </c>
      <c r="R211" s="89">
        <f t="shared" si="17"/>
        <v>102999.68060021641</v>
      </c>
    </row>
    <row r="212" spans="1:18" x14ac:dyDescent="0.3">
      <c r="A212" s="92">
        <v>58.32</v>
      </c>
      <c r="B212" s="230">
        <v>1.07</v>
      </c>
      <c r="C212" s="105"/>
      <c r="D212" s="84" t="s">
        <v>335</v>
      </c>
      <c r="E212" s="88">
        <v>58.32</v>
      </c>
      <c r="F212" s="68">
        <f>PRODUCT(B212,E135)+B212</f>
        <v>1.3482000000000001</v>
      </c>
      <c r="G212" s="140"/>
      <c r="H212" s="140"/>
      <c r="I212" s="140"/>
      <c r="J212" s="54">
        <f t="shared" si="15"/>
        <v>78.627024000000006</v>
      </c>
      <c r="K212" s="156">
        <f>SUM(J8*E212*F212)</f>
        <v>117783.281952</v>
      </c>
      <c r="P212" s="89">
        <f t="shared" si="16"/>
        <v>116605.44913248</v>
      </c>
      <c r="R212" s="89">
        <f t="shared" si="17"/>
        <v>128849.0212913904</v>
      </c>
    </row>
    <row r="213" spans="1:18" x14ac:dyDescent="0.3">
      <c r="A213" s="92"/>
      <c r="B213" s="92"/>
      <c r="D213" s="165"/>
      <c r="E213" s="88"/>
      <c r="F213" s="68"/>
      <c r="G213" s="140"/>
      <c r="H213" s="140"/>
      <c r="I213" s="140"/>
      <c r="J213" s="54"/>
      <c r="K213" s="156"/>
    </row>
    <row r="214" spans="1:18" x14ac:dyDescent="0.3">
      <c r="A214" s="92"/>
      <c r="B214" s="92"/>
      <c r="D214" s="165"/>
      <c r="E214" s="88"/>
      <c r="F214" s="68"/>
      <c r="G214" s="140"/>
      <c r="H214" s="140"/>
      <c r="I214" s="140"/>
      <c r="J214" s="54"/>
      <c r="K214" s="156"/>
    </row>
    <row r="215" spans="1:18" x14ac:dyDescent="0.3">
      <c r="A215" s="92"/>
      <c r="B215" s="92"/>
      <c r="D215" s="84"/>
      <c r="E215" s="88"/>
      <c r="F215" s="68"/>
      <c r="G215" s="140"/>
      <c r="H215" s="140"/>
      <c r="I215" s="140"/>
      <c r="J215" s="54"/>
      <c r="K215" s="156"/>
    </row>
    <row r="216" spans="1:18" ht="19.5" thickBot="1" x14ac:dyDescent="0.35">
      <c r="A216" s="92"/>
      <c r="B216" s="92"/>
      <c r="D216" s="85"/>
      <c r="E216" s="159"/>
      <c r="F216" s="160"/>
      <c r="G216" s="145"/>
      <c r="H216" s="145"/>
      <c r="I216" s="145"/>
      <c r="J216" s="138"/>
      <c r="K216" s="161"/>
    </row>
    <row r="219" spans="1:18" ht="19.5" thickBot="1" x14ac:dyDescent="0.35"/>
    <row r="220" spans="1:18" ht="48" thickBot="1" x14ac:dyDescent="0.35">
      <c r="A220" s="91">
        <v>0.22</v>
      </c>
      <c r="D220" s="129" t="s">
        <v>314</v>
      </c>
      <c r="E220" s="148" t="s">
        <v>315</v>
      </c>
      <c r="F220" s="147" t="s">
        <v>137</v>
      </c>
      <c r="G220" s="133"/>
      <c r="H220" s="133"/>
      <c r="I220" s="133"/>
      <c r="J220" s="148" t="s">
        <v>136</v>
      </c>
      <c r="K220" s="149" t="s">
        <v>138</v>
      </c>
    </row>
    <row r="221" spans="1:18" ht="19.5" thickBot="1" x14ac:dyDescent="0.35">
      <c r="B221" s="92">
        <v>1.4527000000000001</v>
      </c>
      <c r="D221" s="196" t="s">
        <v>316</v>
      </c>
      <c r="E221" s="151">
        <v>2.13</v>
      </c>
      <c r="F221" s="152">
        <f>PRODUCT(B221,A220)+B221</f>
        <v>1.772294</v>
      </c>
      <c r="G221" s="153"/>
      <c r="H221" s="153"/>
      <c r="I221" s="153"/>
      <c r="J221" s="154">
        <f>SUM(E221*F221)</f>
        <v>3.7749862199999997</v>
      </c>
      <c r="K221" s="155">
        <f>SUM(J8*E221*F221)</f>
        <v>5654.9293575599995</v>
      </c>
    </row>
    <row r="222" spans="1:18" ht="19.5" thickBot="1" x14ac:dyDescent="0.35">
      <c r="B222" s="92">
        <v>1.4212</v>
      </c>
      <c r="D222" s="84" t="s">
        <v>317</v>
      </c>
      <c r="E222" s="88">
        <v>2.9</v>
      </c>
      <c r="F222" s="152">
        <f>PRODUCT(B222,A220)+B222</f>
        <v>1.7338640000000001</v>
      </c>
      <c r="G222" s="140"/>
      <c r="H222" s="140"/>
      <c r="I222" s="140"/>
      <c r="J222" s="54">
        <f>SUM(E222*F222)</f>
        <v>5.0282055999999997</v>
      </c>
      <c r="K222" s="156">
        <f>SUM(J8*E222*F222)</f>
        <v>7532.2519887999997</v>
      </c>
    </row>
    <row r="223" spans="1:18" ht="19.5" thickBot="1" x14ac:dyDescent="0.35">
      <c r="B223" s="92">
        <v>1.3481000000000001</v>
      </c>
      <c r="D223" s="165" t="s">
        <v>318</v>
      </c>
      <c r="E223" s="88">
        <v>3.9</v>
      </c>
      <c r="F223" s="152">
        <f>PRODUCT(B223,A220)+B223</f>
        <v>1.644682</v>
      </c>
      <c r="G223" s="140"/>
      <c r="H223" s="140"/>
      <c r="I223" s="140"/>
      <c r="J223" s="54">
        <f>SUM(E223*F223)</f>
        <v>6.4142598</v>
      </c>
      <c r="K223" s="156">
        <f>SUM(J8*E223*F223)</f>
        <v>9608.5611804</v>
      </c>
    </row>
    <row r="224" spans="1:18" ht="19.5" thickBot="1" x14ac:dyDescent="0.35">
      <c r="A224" s="225"/>
      <c r="B224" s="92">
        <v>1.2011000000000001</v>
      </c>
      <c r="D224" s="182" t="s">
        <v>319</v>
      </c>
      <c r="E224" s="107">
        <v>6.2</v>
      </c>
      <c r="F224" s="152">
        <f>PRODUCT(B224,A220)+B224</f>
        <v>1.4653420000000001</v>
      </c>
      <c r="G224" s="140"/>
      <c r="H224" s="140"/>
      <c r="I224" s="140"/>
      <c r="J224" s="54">
        <f t="shared" ref="J224:J231" si="18">SUM(E224*F224)</f>
        <v>9.085120400000001</v>
      </c>
      <c r="K224" s="156">
        <f>SUM(J8*E224*F224)</f>
        <v>13609.510359200001</v>
      </c>
    </row>
    <row r="225" spans="1:11" ht="19.5" thickBot="1" x14ac:dyDescent="0.35">
      <c r="A225" s="225"/>
      <c r="B225" s="92">
        <v>1.2384999999999999</v>
      </c>
      <c r="D225" s="182" t="s">
        <v>320</v>
      </c>
      <c r="E225" s="107">
        <v>5.9</v>
      </c>
      <c r="F225" s="152">
        <f>PRODUCT(B225,A220)+B225</f>
        <v>1.5109699999999999</v>
      </c>
      <c r="G225" s="140"/>
      <c r="H225" s="140"/>
      <c r="I225" s="140"/>
      <c r="J225" s="54">
        <f t="shared" si="18"/>
        <v>8.9147230000000004</v>
      </c>
      <c r="K225" s="156">
        <f>SUM(J8*E225*F225)</f>
        <v>13354.255054000001</v>
      </c>
    </row>
    <row r="226" spans="1:11" ht="19.5" thickBot="1" x14ac:dyDescent="0.35">
      <c r="A226" s="225"/>
      <c r="B226" s="92">
        <v>1.1484000000000001</v>
      </c>
      <c r="D226" s="182" t="s">
        <v>322</v>
      </c>
      <c r="E226" s="107">
        <v>28</v>
      </c>
      <c r="F226" s="152">
        <f>PRODUCT(B226,A220)+B226</f>
        <v>1.4010480000000001</v>
      </c>
      <c r="G226" s="140"/>
      <c r="H226" s="140"/>
      <c r="I226" s="140"/>
      <c r="J226" s="54">
        <f t="shared" si="18"/>
        <v>39.229344000000005</v>
      </c>
      <c r="K226" s="156">
        <f>SUM(J8*E226*F226)</f>
        <v>58765.557312000004</v>
      </c>
    </row>
    <row r="227" spans="1:11" ht="19.5" thickBot="1" x14ac:dyDescent="0.35">
      <c r="A227" s="225"/>
      <c r="B227" s="92"/>
      <c r="D227" s="182"/>
      <c r="E227" s="107"/>
      <c r="F227" s="152">
        <f>PRODUCT(B227,A220)+B227</f>
        <v>0.22</v>
      </c>
      <c r="G227" s="140"/>
      <c r="H227" s="140"/>
      <c r="I227" s="140"/>
      <c r="J227" s="54">
        <f t="shared" si="18"/>
        <v>0</v>
      </c>
      <c r="K227" s="156">
        <f>SUM(J8*E227*F227)</f>
        <v>0</v>
      </c>
    </row>
    <row r="228" spans="1:11" ht="19.5" thickBot="1" x14ac:dyDescent="0.35">
      <c r="A228" s="225"/>
      <c r="B228" s="92"/>
      <c r="D228" s="182"/>
      <c r="E228" s="107"/>
      <c r="F228" s="152">
        <f>PRODUCT(B228,A220)+B228</f>
        <v>0.22</v>
      </c>
      <c r="G228" s="140"/>
      <c r="H228" s="140"/>
      <c r="I228" s="140"/>
      <c r="J228" s="54">
        <f t="shared" si="18"/>
        <v>0</v>
      </c>
      <c r="K228" s="156">
        <f>SUM(J8*E228*F228)</f>
        <v>0</v>
      </c>
    </row>
    <row r="229" spans="1:11" ht="19.5" thickBot="1" x14ac:dyDescent="0.35">
      <c r="A229" s="225"/>
      <c r="B229" s="92"/>
      <c r="D229" s="182"/>
      <c r="E229" s="107"/>
      <c r="F229" s="152">
        <f>PRODUCT(B229,A220)+B229</f>
        <v>0.22</v>
      </c>
      <c r="G229" s="140"/>
      <c r="H229" s="140"/>
      <c r="I229" s="140"/>
      <c r="J229" s="54">
        <f t="shared" si="18"/>
        <v>0</v>
      </c>
      <c r="K229" s="156">
        <f>SUM(J8*E229*F229)</f>
        <v>0</v>
      </c>
    </row>
    <row r="230" spans="1:11" ht="19.5" thickBot="1" x14ac:dyDescent="0.35">
      <c r="A230" s="225"/>
      <c r="B230" s="92"/>
      <c r="D230" s="182"/>
      <c r="E230" s="107"/>
      <c r="F230" s="152">
        <f>PRODUCT(B230,A220+B230)</f>
        <v>0.22</v>
      </c>
      <c r="G230" s="140"/>
      <c r="H230" s="140"/>
      <c r="I230" s="140"/>
      <c r="J230" s="54">
        <f t="shared" si="18"/>
        <v>0</v>
      </c>
      <c r="K230" s="156">
        <f>SUM(J8*E230*F230)</f>
        <v>0</v>
      </c>
    </row>
    <row r="231" spans="1:11" ht="19.5" thickBot="1" x14ac:dyDescent="0.35">
      <c r="B231" s="92"/>
      <c r="D231" s="85" t="s">
        <v>52</v>
      </c>
      <c r="E231" s="159" t="s">
        <v>52</v>
      </c>
      <c r="F231" s="152">
        <f>PRODUCT(B231,A220)+B231</f>
        <v>0.22</v>
      </c>
      <c r="G231" s="145"/>
      <c r="H231" s="145"/>
      <c r="I231" s="145"/>
      <c r="J231" s="54" t="e">
        <f t="shared" si="18"/>
        <v>#VALUE!</v>
      </c>
      <c r="K231" s="156" t="e">
        <f>SUM(J8*E231*F231)</f>
        <v>#VALUE!</v>
      </c>
    </row>
  </sheetData>
  <autoFilter ref="D12:Q113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10">
    <mergeCell ref="J10:K10"/>
    <mergeCell ref="J6:L6"/>
    <mergeCell ref="L11:P11"/>
    <mergeCell ref="F12:K12"/>
    <mergeCell ref="L12:Q12"/>
    <mergeCell ref="B10:C10"/>
    <mergeCell ref="C8:D8"/>
    <mergeCell ref="C6:D6"/>
    <mergeCell ref="D113:E113"/>
    <mergeCell ref="D12:E13"/>
    <mergeCell ref="D107:E107"/>
    <mergeCell ref="D108:E108"/>
    <mergeCell ref="D109:E109"/>
    <mergeCell ref="D110:E110"/>
    <mergeCell ref="D111:E111"/>
    <mergeCell ref="D112:E11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8:E28"/>
    <mergeCell ref="D17:E17"/>
    <mergeCell ref="D18:E18"/>
    <mergeCell ref="D19:E19"/>
    <mergeCell ref="D20:E20"/>
    <mergeCell ref="D21:E21"/>
    <mergeCell ref="D22:E22"/>
    <mergeCell ref="D35:E35"/>
    <mergeCell ref="D36:E36"/>
    <mergeCell ref="D10:E10"/>
    <mergeCell ref="D14:E14"/>
    <mergeCell ref="D15:E15"/>
    <mergeCell ref="D16:E16"/>
    <mergeCell ref="D23:E23"/>
    <mergeCell ref="D24:E24"/>
    <mergeCell ref="D25:E25"/>
    <mergeCell ref="D26:E26"/>
    <mergeCell ref="D27:E27"/>
  </mergeCells>
  <hyperlinks>
    <hyperlink ref="B14" location="'1'!A1" display="'1'!A1" xr:uid="{00000000-0004-0000-0000-000000000000}"/>
    <hyperlink ref="B15" location="'2'!A1" display="'2'!A1" xr:uid="{00000000-0004-0000-0000-000001000000}"/>
    <hyperlink ref="B16" location="'3'!A1" display="'3'!A1" xr:uid="{00000000-0004-0000-0000-000002000000}"/>
    <hyperlink ref="B17" location="'4'!A1" display="'4'!A1" xr:uid="{00000000-0004-0000-0000-000003000000}"/>
    <hyperlink ref="B18" location="'5'!A1" display="'5'!A1" xr:uid="{00000000-0004-0000-0000-000004000000}"/>
    <hyperlink ref="B19" location="'6'!A1" display="'6'!A1" xr:uid="{00000000-0004-0000-0000-000005000000}"/>
    <hyperlink ref="B20" location="'7'!A1" display="'7'!A1" xr:uid="{00000000-0004-0000-0000-000006000000}"/>
    <hyperlink ref="B21" location="'8'!A1" display="'8'!A1" xr:uid="{00000000-0004-0000-0000-000007000000}"/>
    <hyperlink ref="B22" location="'9'!A1" display="'9'!A1" xr:uid="{00000000-0004-0000-0000-000008000000}"/>
    <hyperlink ref="B23" location="'10'!A1" display="'10'!A1" xr:uid="{00000000-0004-0000-0000-000009000000}"/>
    <hyperlink ref="B24" location="'11'!A1" display="'11'!A1" xr:uid="{00000000-0004-0000-0000-00000A000000}"/>
    <hyperlink ref="B25" location="'12'!A1" display="'12'!A1" xr:uid="{00000000-0004-0000-0000-00000B000000}"/>
    <hyperlink ref="B26" location="'13'!A1" display="'13'!A1" xr:uid="{00000000-0004-0000-0000-00000C000000}"/>
    <hyperlink ref="B27" location="'14'!A1" display="'14'!A1" xr:uid="{00000000-0004-0000-0000-00000D000000}"/>
    <hyperlink ref="B28" location="'15'!A1" display="'15'!A1" xr:uid="{00000000-0004-0000-0000-00000E000000}"/>
    <hyperlink ref="B29" location="'16'!A1" display="'16'!A1" xr:uid="{00000000-0004-0000-0000-00000F000000}"/>
    <hyperlink ref="B30" location="'17'!A1" display="'17'!A1" xr:uid="{00000000-0004-0000-0000-000010000000}"/>
    <hyperlink ref="B31" location="'18'!A1" display="'18'!A1" xr:uid="{00000000-0004-0000-0000-000011000000}"/>
    <hyperlink ref="B32" location="'19'!A1" display="'19'!A1" xr:uid="{00000000-0004-0000-0000-000012000000}"/>
    <hyperlink ref="B33" location="'20'!A1" display="'20'!A1" xr:uid="{00000000-0004-0000-0000-000013000000}"/>
    <hyperlink ref="B34" location="'21'!A1" display="'21'!A1" xr:uid="{00000000-0004-0000-0000-000014000000}"/>
    <hyperlink ref="B35" location="'22'!A1" display="'22'!A1" xr:uid="{00000000-0004-0000-0000-000015000000}"/>
    <hyperlink ref="B36" location="'23'!A1" display="'23'!A1" xr:uid="{00000000-0004-0000-0000-000016000000}"/>
    <hyperlink ref="B37" location="'24'!A1" display="'24'!A1" xr:uid="{00000000-0004-0000-0000-000017000000}"/>
    <hyperlink ref="B38" location="'25'!A1" display="'25'!A1" xr:uid="{00000000-0004-0000-0000-000018000000}"/>
    <hyperlink ref="B39" location="'26'!A1" display="'26'!A1" xr:uid="{00000000-0004-0000-0000-000019000000}"/>
    <hyperlink ref="B40" location="'27'!A1" display="'27'!A1" xr:uid="{00000000-0004-0000-0000-00001A000000}"/>
    <hyperlink ref="B41" location="'28'!A1" display="'28'!A1" xr:uid="{00000000-0004-0000-0000-00001B000000}"/>
    <hyperlink ref="B42" location="'29'!A1" display="'29'!A1" xr:uid="{00000000-0004-0000-0000-00001C000000}"/>
    <hyperlink ref="B43" location="'30'!A1" display="'30'!A1" xr:uid="{00000000-0004-0000-0000-00001D000000}"/>
    <hyperlink ref="B44" location="'31'!A1" display="'31'!A1" xr:uid="{00000000-0004-0000-0000-00001E000000}"/>
    <hyperlink ref="B45" location="'32'!A1" display="'32'!A1" xr:uid="{00000000-0004-0000-0000-00001F000000}"/>
    <hyperlink ref="B46" location="'33'!A1" display="'33'!A1" xr:uid="{00000000-0004-0000-0000-000020000000}"/>
    <hyperlink ref="B47" location="'34'!A1" display="'34'!A1" xr:uid="{00000000-0004-0000-0000-000021000000}"/>
    <hyperlink ref="B48" location="'35'!A1" display="'35'!A1" xr:uid="{00000000-0004-0000-0000-000022000000}"/>
    <hyperlink ref="B49" location="'36'!A1" display="'36'!A1" xr:uid="{00000000-0004-0000-0000-000023000000}"/>
    <hyperlink ref="B50" location="'37'!A1" display="'37'!A1" xr:uid="{00000000-0004-0000-0000-000024000000}"/>
    <hyperlink ref="B51" location="'38'!A1" display="'38'!A1" xr:uid="{00000000-0004-0000-0000-000025000000}"/>
    <hyperlink ref="B52" location="'39'!A1" display="'39'!A1" xr:uid="{00000000-0004-0000-0000-000026000000}"/>
    <hyperlink ref="B53" location="'40'!A1" display="'40'!A1" xr:uid="{00000000-0004-0000-0000-000027000000}"/>
    <hyperlink ref="B54" location="'41'!A1" display="'41'!A1" xr:uid="{00000000-0004-0000-0000-000028000000}"/>
    <hyperlink ref="B55" location="'42'!A1" display="'42'!A1" xr:uid="{00000000-0004-0000-0000-000029000000}"/>
    <hyperlink ref="B56" location="'43'!A1" display="'43'!A1" xr:uid="{00000000-0004-0000-0000-00002A000000}"/>
    <hyperlink ref="B57" location="'44'!A1" display="'44'!A1" xr:uid="{00000000-0004-0000-0000-00002B000000}"/>
    <hyperlink ref="B58" location="'45'!A1" display="'45'!A1" xr:uid="{00000000-0004-0000-0000-00002C000000}"/>
    <hyperlink ref="B59" location="'46'!A1" display="'46'!A1" xr:uid="{00000000-0004-0000-0000-00002D000000}"/>
    <hyperlink ref="B60" location="'47'!A1" display="'47'!A1" xr:uid="{00000000-0004-0000-0000-00002E000000}"/>
    <hyperlink ref="B61" location="'48'!A1" display="'48'!A1" xr:uid="{00000000-0004-0000-0000-00002F000000}"/>
    <hyperlink ref="B62" location="'49'!A1" display="'49'!A1" xr:uid="{00000000-0004-0000-0000-000030000000}"/>
    <hyperlink ref="B63" location="'50'!A1" display="'50'!A1" xr:uid="{00000000-0004-0000-0000-000031000000}"/>
    <hyperlink ref="B64" location="'51'!A1" display="'51'!A1" xr:uid="{00000000-0004-0000-0000-000032000000}"/>
    <hyperlink ref="B65" location="'52'!A1" display="'52'!A1" xr:uid="{00000000-0004-0000-0000-000033000000}"/>
    <hyperlink ref="B66" location="'53'!A1" display="'53'!A1" xr:uid="{00000000-0004-0000-0000-000034000000}"/>
    <hyperlink ref="B67" location="'54'!A1" display="'54'!A1" xr:uid="{00000000-0004-0000-0000-000035000000}"/>
    <hyperlink ref="B68" location="'55'!A1" display="'55'!A1" xr:uid="{00000000-0004-0000-0000-000036000000}"/>
    <hyperlink ref="B69" location="'56'!A1" display="'56'!A1" xr:uid="{00000000-0004-0000-0000-000037000000}"/>
    <hyperlink ref="B70" location="'57'!A1" display="'57'!A1" xr:uid="{00000000-0004-0000-0000-000038000000}"/>
    <hyperlink ref="B71" location="'58'!A1" display="'58'!A1" xr:uid="{00000000-0004-0000-0000-000039000000}"/>
    <hyperlink ref="B72" location="'59'!A1" display="'59'!A1" xr:uid="{00000000-0004-0000-0000-00003A000000}"/>
    <hyperlink ref="B73" location="'60'!A1" display="'60'!A1" xr:uid="{00000000-0004-0000-0000-00003B000000}"/>
    <hyperlink ref="B74" location="'61'!A1" display="'61'!A1" xr:uid="{00000000-0004-0000-0000-00003C000000}"/>
    <hyperlink ref="B75" location="'62'!A1" display="'62'!A1" xr:uid="{00000000-0004-0000-0000-00003D000000}"/>
    <hyperlink ref="B76" location="'63'!A1" display="'63'!A1" xr:uid="{00000000-0004-0000-0000-00003E000000}"/>
    <hyperlink ref="B77" location="'64'!A1" display="'64'!A1" xr:uid="{00000000-0004-0000-0000-00003F000000}"/>
    <hyperlink ref="B78" location="'65'!A1" display="'65'!A1" xr:uid="{00000000-0004-0000-0000-000040000000}"/>
    <hyperlink ref="B79" location="'66'!A1" display="'66'!A1" xr:uid="{00000000-0004-0000-0000-000041000000}"/>
    <hyperlink ref="B80" location="'67'!A1" display="'67'!A1" xr:uid="{00000000-0004-0000-0000-000042000000}"/>
    <hyperlink ref="B81" location="'68'!A1" display="'68'!A1" xr:uid="{00000000-0004-0000-0000-000043000000}"/>
    <hyperlink ref="B82" location="'69'!A1" display="'69'!A1" xr:uid="{00000000-0004-0000-0000-000044000000}"/>
    <hyperlink ref="B83" location="'70'!A1" display="'70'!A1" xr:uid="{00000000-0004-0000-0000-000045000000}"/>
    <hyperlink ref="B84" location="'71'!A1" display="'71'!A1" xr:uid="{00000000-0004-0000-0000-000046000000}"/>
    <hyperlink ref="B85" location="'72'!A1" display="'72'!A1" xr:uid="{00000000-0004-0000-0000-000047000000}"/>
    <hyperlink ref="B86" location="'73'!A1" display="'73'!A1" xr:uid="{00000000-0004-0000-0000-000048000000}"/>
    <hyperlink ref="B87" location="'74'!A1" display="'74'!A1" xr:uid="{00000000-0004-0000-0000-000049000000}"/>
    <hyperlink ref="B88" location="'75'!A1" display="'75'!A1" xr:uid="{00000000-0004-0000-0000-00004A000000}"/>
    <hyperlink ref="B89" location="'76'!A1" display="'76'!A1" xr:uid="{00000000-0004-0000-0000-00004B000000}"/>
    <hyperlink ref="B90" location="'77'!A1" display="'77'!A1" xr:uid="{00000000-0004-0000-0000-00004C000000}"/>
    <hyperlink ref="B91" location="'78'!A1" display="'78'!A1" xr:uid="{00000000-0004-0000-0000-00004D000000}"/>
    <hyperlink ref="B92" location="'79'!A1" display="'79'!A1" xr:uid="{00000000-0004-0000-0000-00004E000000}"/>
    <hyperlink ref="B93" location="'80'!A1" display="'80'!A1" xr:uid="{00000000-0004-0000-0000-00004F000000}"/>
    <hyperlink ref="B94" location="'81'!A1" display="'81'!A1" xr:uid="{00000000-0004-0000-0000-000050000000}"/>
    <hyperlink ref="B95" location="'82'!A1" display="'82'!A1" xr:uid="{00000000-0004-0000-0000-000051000000}"/>
    <hyperlink ref="B96" location="'83'!A1" display="'83'!A1" xr:uid="{00000000-0004-0000-0000-000052000000}"/>
    <hyperlink ref="B97" location="'84'!A1" display="'84'!A1" xr:uid="{00000000-0004-0000-0000-000053000000}"/>
    <hyperlink ref="B98" location="'85'!A1" display="'85'!A1" xr:uid="{00000000-0004-0000-0000-000054000000}"/>
    <hyperlink ref="B99" location="'86'!A1" display="'86'!A1" xr:uid="{00000000-0004-0000-0000-000055000000}"/>
    <hyperlink ref="B100" location="'87'!A1" display="'87'!A1" xr:uid="{00000000-0004-0000-0000-000056000000}"/>
    <hyperlink ref="B101" location="'88'!A1" display="'88'!A1" xr:uid="{00000000-0004-0000-0000-000057000000}"/>
    <hyperlink ref="B102" location="'89'!A1" display="'89'!A1" xr:uid="{00000000-0004-0000-0000-000058000000}"/>
    <hyperlink ref="B103" location="'90'!A1" display="'90'!A1" xr:uid="{00000000-0004-0000-0000-000059000000}"/>
    <hyperlink ref="B104" location="'91'!A1" display="'91'!A1" xr:uid="{00000000-0004-0000-0000-00005A000000}"/>
    <hyperlink ref="B105" location="'92'!A1" display="'92'!A1" xr:uid="{00000000-0004-0000-0000-00005B000000}"/>
    <hyperlink ref="B106" location="'93'!A1" display="'93'!A1" xr:uid="{00000000-0004-0000-0000-00005C000000}"/>
    <hyperlink ref="B107" location="'94'!A1" display="'94'!A1" xr:uid="{00000000-0004-0000-0000-00005D000000}"/>
    <hyperlink ref="B108" location="'95'!A1" display="'95'!A1" xr:uid="{00000000-0004-0000-0000-00005E000000}"/>
    <hyperlink ref="B109" location="'96'!A1" display="'96'!A1" xr:uid="{00000000-0004-0000-0000-00005F000000}"/>
    <hyperlink ref="B110" location="'97'!A1" display="'97'!A1" xr:uid="{00000000-0004-0000-0000-000060000000}"/>
    <hyperlink ref="B111" location="'98'!A1" display="'98'!A1" xr:uid="{00000000-0004-0000-0000-000061000000}"/>
    <hyperlink ref="B112" location="'99'!A1" display="'99'!A1" xr:uid="{00000000-0004-0000-0000-000062000000}"/>
    <hyperlink ref="B113" location="'100'!A1" display="'100'!A1" xr:uid="{00000000-0004-0000-0000-000063000000}"/>
    <hyperlink ref="J6" r:id="rId1" xr:uid="{00000000-0004-0000-0000-000064000000}"/>
    <hyperlink ref="Q136" r:id="rId2" xr:uid="{00000000-0004-0000-0000-000065000000}"/>
  </hyperlinks>
  <pageMargins left="0.70866141732283472" right="0.70866141732283472" top="0.74803149606299213" bottom="0.74803149606299213" header="0.31496062992125984" footer="0.31496062992125984"/>
  <pageSetup paperSize="9" scale="1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showGridLines="0" zoomScale="124" zoomScaleNormal="124" workbookViewId="0"/>
  </sheetViews>
  <sheetFormatPr baseColWidth="10" defaultColWidth="11.42578125" defaultRowHeight="15" x14ac:dyDescent="0.25"/>
  <cols>
    <col min="1" max="1" width="11.42578125" style="1" customWidth="1"/>
    <col min="2" max="2" width="14.42578125" style="1" customWidth="1"/>
    <col min="3" max="5" width="9.7109375" style="1" customWidth="1"/>
    <col min="6" max="6" width="6.140625" style="1" customWidth="1"/>
    <col min="7" max="7" width="15.7109375" style="1" customWidth="1"/>
    <col min="8" max="10" width="9.7109375" style="1" customWidth="1"/>
    <col min="11" max="16384" width="11.42578125" style="1"/>
  </cols>
  <sheetData>
    <row r="1" spans="1:11" ht="15.75" thickBot="1" x14ac:dyDescent="0.3">
      <c r="A1" s="1" t="s">
        <v>68</v>
      </c>
    </row>
    <row r="2" spans="1:11" ht="19.5" thickBot="1" x14ac:dyDescent="0.3">
      <c r="B2" s="11"/>
      <c r="D2" s="263" t="str">
        <f>PROPER(INICIO!D14)</f>
        <v>Tato/Rolando/Alpes/Javier/Bassaro/El Roble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49" t="s">
        <v>0</v>
      </c>
      <c r="C5" s="50">
        <v>1000</v>
      </c>
      <c r="D5" s="50">
        <v>1220</v>
      </c>
      <c r="E5" s="50">
        <v>1500</v>
      </c>
      <c r="F5" s="16"/>
      <c r="G5" s="51" t="s">
        <v>1</v>
      </c>
      <c r="H5" s="52">
        <v>1000</v>
      </c>
      <c r="I5" s="52">
        <v>1245</v>
      </c>
      <c r="J5" s="52">
        <v>1500</v>
      </c>
      <c r="K5" s="9"/>
    </row>
    <row r="6" spans="1:11" ht="15.75" x14ac:dyDescent="0.25"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>
        <f>SUM(H16*0.14)+H16</f>
        <v>2044.1408399999998</v>
      </c>
      <c r="I6" s="40" t="s">
        <v>2</v>
      </c>
      <c r="J6" s="40" t="s">
        <v>2</v>
      </c>
      <c r="K6" s="9"/>
    </row>
    <row r="7" spans="1:11" ht="15.75" x14ac:dyDescent="0.25"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SUM(H16*0.143)+H16</f>
        <v>2049.5201579999998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SUM(H16*0.09)+H16</f>
        <v>1954.4855399999997</v>
      </c>
      <c r="K13" s="9"/>
    </row>
    <row r="14" spans="1:11" ht="15.75" x14ac:dyDescent="0.25"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SUM(H16*0.09)+H16</f>
        <v>1954.4855399999997</v>
      </c>
      <c r="K14" s="9"/>
    </row>
    <row r="15" spans="1:11" ht="16.5" thickBot="1" x14ac:dyDescent="0.3">
      <c r="B15" s="10"/>
      <c r="C15" s="10"/>
      <c r="D15" s="10"/>
      <c r="E15" s="10"/>
      <c r="F15" s="10"/>
      <c r="G15" s="10"/>
      <c r="H15" s="10"/>
      <c r="I15" s="10"/>
      <c r="J15" s="10" t="s">
        <v>52</v>
      </c>
      <c r="K15" s="9"/>
    </row>
    <row r="16" spans="1:11" ht="16.5" thickBot="1" x14ac:dyDescent="0.3">
      <c r="B16" s="14" t="s">
        <v>5</v>
      </c>
      <c r="C16" s="41">
        <f>SUM(INICIO!K14)</f>
        <v>2098.3384799999999</v>
      </c>
      <c r="D16" s="10"/>
      <c r="E16" s="10"/>
      <c r="F16" s="10"/>
      <c r="G16" s="26" t="s">
        <v>5</v>
      </c>
      <c r="H16" s="42">
        <f>SUM(INICIO!Q14)</f>
        <v>1793.1059999999998</v>
      </c>
      <c r="I16" s="10"/>
      <c r="J16" s="10" t="s">
        <v>259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 t="s">
        <v>328</v>
      </c>
      <c r="K17" s="9" t="s">
        <v>52</v>
      </c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 t="s">
        <v>267</v>
      </c>
      <c r="K18" s="9" t="s">
        <v>268</v>
      </c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 t="s">
        <v>242</v>
      </c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>
        <f>SUM(H34*0.2)+H34</f>
        <v>1.4363999999999999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2:1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2:1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2:1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2:1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SUM(H34*0.09)+H34</f>
        <v>1.3047299999999997</v>
      </c>
      <c r="K31" s="9"/>
    </row>
    <row r="32" spans="2:1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SUM(H34*0.09)+H34</f>
        <v>1.3047299999999997</v>
      </c>
      <c r="K32" s="9"/>
    </row>
    <row r="33" spans="1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1:11" ht="16.5" thickBot="1" x14ac:dyDescent="0.3">
      <c r="B34" s="14" t="s">
        <v>5</v>
      </c>
      <c r="C34" s="24">
        <f>SUM(INICIO!J14)</f>
        <v>1.40076</v>
      </c>
      <c r="D34" s="10"/>
      <c r="E34" s="10"/>
      <c r="F34" s="10"/>
      <c r="G34" s="26" t="s">
        <v>5</v>
      </c>
      <c r="H34" s="27">
        <f>SUM(INICIO!P14)</f>
        <v>1.1969999999999998</v>
      </c>
      <c r="I34" s="10"/>
      <c r="J34" s="10"/>
      <c r="K34" s="9"/>
    </row>
    <row r="35" spans="1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1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1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1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41" spans="1:11" ht="15.75" x14ac:dyDescent="0.25">
      <c r="A41"/>
      <c r="B41" s="14" t="s">
        <v>69</v>
      </c>
      <c r="C41" s="15">
        <v>1000</v>
      </c>
      <c r="D41" s="15">
        <v>1220</v>
      </c>
    </row>
    <row r="42" spans="1:11" ht="15.75" x14ac:dyDescent="0.25">
      <c r="A42"/>
      <c r="B42" s="17" t="s">
        <v>70</v>
      </c>
      <c r="C42" s="40" t="s">
        <v>52</v>
      </c>
      <c r="D42" s="68" t="s">
        <v>52</v>
      </c>
    </row>
    <row r="43" spans="1:11" ht="15.75" x14ac:dyDescent="0.25">
      <c r="A43"/>
      <c r="B43" s="17">
        <v>18</v>
      </c>
      <c r="C43" s="40" t="s">
        <v>52</v>
      </c>
      <c r="D43" s="68" t="s">
        <v>52</v>
      </c>
    </row>
    <row r="44" spans="1:11" ht="15.75" x14ac:dyDescent="0.25">
      <c r="A44"/>
      <c r="B44" s="17">
        <v>20</v>
      </c>
      <c r="C44" s="40" t="s">
        <v>52</v>
      </c>
      <c r="D44" s="68" t="s">
        <v>52</v>
      </c>
    </row>
    <row r="45" spans="1:11" ht="15.75" x14ac:dyDescent="0.25">
      <c r="A45"/>
      <c r="B45" s="17">
        <v>22</v>
      </c>
      <c r="C45" s="40" t="s">
        <v>68</v>
      </c>
      <c r="D45" s="68" t="s">
        <v>68</v>
      </c>
    </row>
    <row r="46" spans="1:11" ht="15.75" x14ac:dyDescent="0.25">
      <c r="A46"/>
      <c r="B46" s="17">
        <v>24</v>
      </c>
      <c r="C46" s="40" t="s">
        <v>52</v>
      </c>
      <c r="D46" s="69" t="s">
        <v>52</v>
      </c>
    </row>
    <row r="47" spans="1:11" ht="15.75" x14ac:dyDescent="0.25">
      <c r="A47"/>
      <c r="B47" s="17">
        <v>25</v>
      </c>
      <c r="C47" s="40" t="s">
        <v>52</v>
      </c>
      <c r="D47" s="68" t="s">
        <v>52</v>
      </c>
    </row>
    <row r="48" spans="1:11" ht="15.75" x14ac:dyDescent="0.25">
      <c r="A48"/>
      <c r="B48" s="17">
        <v>26</v>
      </c>
      <c r="C48" s="40" t="s">
        <v>52</v>
      </c>
      <c r="D48" s="69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showGridLines="0" zoomScale="110" zoomScaleNormal="110" workbookViewId="0"/>
  </sheetViews>
  <sheetFormatPr baseColWidth="10" defaultRowHeight="15" x14ac:dyDescent="0.25"/>
  <cols>
    <col min="6" max="6" width="8.7109375" customWidth="1"/>
  </cols>
  <sheetData>
    <row r="1" spans="1:17" ht="15.75" thickBot="1" x14ac:dyDescent="0.3">
      <c r="A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7" ht="19.5" thickBot="1" x14ac:dyDescent="0.3">
      <c r="A2" s="1"/>
      <c r="B2" s="11" t="s">
        <v>15</v>
      </c>
      <c r="C2" s="1"/>
      <c r="D2" s="263" t="str">
        <f>PROPER(INICIO!D15)</f>
        <v>Martinez/Pretocom/Parrillas Omar/Gillio</v>
      </c>
      <c r="E2" s="264"/>
      <c r="F2" s="264"/>
      <c r="G2" s="265"/>
      <c r="H2" s="1"/>
      <c r="I2" s="1"/>
      <c r="J2" s="1"/>
      <c r="K2" s="1"/>
    </row>
    <row r="3" spans="1:17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7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7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7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  <c r="Q6" t="s">
        <v>52</v>
      </c>
    </row>
    <row r="7" spans="1:17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7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7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7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7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7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7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  <c r="L13" t="s">
        <v>353</v>
      </c>
    </row>
    <row r="14" spans="1:17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7" ht="16.5" thickBot="1" x14ac:dyDescent="0.3">
      <c r="A15" s="1"/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1:17" ht="16.5" thickBot="1" x14ac:dyDescent="0.3">
      <c r="A16" s="1"/>
      <c r="B16" s="14" t="s">
        <v>5</v>
      </c>
      <c r="C16" s="41">
        <f>SUM(INICIO!K15)</f>
        <v>2098.3384799999999</v>
      </c>
      <c r="D16" s="10"/>
      <c r="E16" s="10"/>
      <c r="F16" s="10"/>
      <c r="G16" s="26" t="s">
        <v>5</v>
      </c>
      <c r="H16" s="42">
        <f>SUM(INICIO!Q15)</f>
        <v>1793.1059999999998</v>
      </c>
      <c r="I16" s="10" t="s">
        <v>103</v>
      </c>
      <c r="J16" s="10">
        <v>1.1599999999999999</v>
      </c>
      <c r="K16" s="170">
        <v>45386</v>
      </c>
    </row>
    <row r="17" spans="1:12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216" t="s">
        <v>297</v>
      </c>
      <c r="K17" s="217" t="s">
        <v>281</v>
      </c>
      <c r="L17" t="s">
        <v>52</v>
      </c>
    </row>
    <row r="18" spans="1:12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 t="s">
        <v>253</v>
      </c>
      <c r="K18" s="9" t="s">
        <v>52</v>
      </c>
    </row>
    <row r="19" spans="1:12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2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2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2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2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2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2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2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2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2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2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2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2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SUM(H34*0.09)+H34</f>
        <v>1.3047299999999997</v>
      </c>
      <c r="K31" s="9"/>
    </row>
    <row r="32" spans="1:12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SUM(H34*0.09)+H34</f>
        <v>1.3047299999999997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SUM(INICIO!J15)</f>
        <v>1.40076</v>
      </c>
      <c r="D34" s="10"/>
      <c r="E34" s="10"/>
      <c r="F34" s="10"/>
      <c r="G34" s="26" t="s">
        <v>5</v>
      </c>
      <c r="H34" s="27">
        <f>SUM(INICIO!P15)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1" spans="2:11" s="1" customFormat="1" x14ac:dyDescent="0.25"/>
    <row r="42" spans="2:11" ht="15.75" x14ac:dyDescent="0.25">
      <c r="B42" s="14" t="s">
        <v>71</v>
      </c>
      <c r="C42" s="15" t="s">
        <v>111</v>
      </c>
    </row>
    <row r="43" spans="2:11" ht="15.75" x14ac:dyDescent="0.25">
      <c r="B43" s="17" t="s">
        <v>75</v>
      </c>
      <c r="C43" s="81">
        <v>0</v>
      </c>
    </row>
    <row r="44" spans="2:11" ht="15.75" x14ac:dyDescent="0.25">
      <c r="B44" s="17" t="s">
        <v>110</v>
      </c>
      <c r="C44" s="80" t="s">
        <v>52</v>
      </c>
    </row>
    <row r="45" spans="2:11" ht="15.75" x14ac:dyDescent="0.25">
      <c r="B45" s="17" t="s">
        <v>52</v>
      </c>
      <c r="C45" s="80">
        <f>SUM(C53*0.08)+C53</f>
        <v>0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showGridLines="0" zoomScale="118" zoomScaleNormal="118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PROPER(INICIO!D16)</f>
        <v>Megacer/Esimet/Ravi/Sonoflex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2390.7458329999999</v>
      </c>
      <c r="D6" s="40">
        <f>SUM(C16*0.04)+C16</f>
        <v>2323.7155760000001</v>
      </c>
      <c r="E6" s="40">
        <f>SUM(C16*0.04)+C16</f>
        <v>2323.7155760000001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2390.7458329999999</v>
      </c>
      <c r="D7" s="40">
        <f>SUM(C16*0.04)+C16</f>
        <v>2323.7155760000001</v>
      </c>
      <c r="E7" s="40">
        <f>SUM(C16*0.04)+C16</f>
        <v>2323.7155760000001</v>
      </c>
      <c r="F7" s="16"/>
      <c r="G7" s="18">
        <v>2</v>
      </c>
      <c r="H7" s="40">
        <f>SUM(H16*0.14)+H16</f>
        <v>2141.4808800000001</v>
      </c>
      <c r="I7" s="40">
        <f>SUM(H16*0.11)+H16</f>
        <v>2085.1261199999999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2413.0892519999998</v>
      </c>
      <c r="D8" s="40">
        <f>SUM(C16*0.05)+C16</f>
        <v>2346.0589949999999</v>
      </c>
      <c r="E8" s="40">
        <f>SUM(C16*0.05)+C16</f>
        <v>2346.0589949999999</v>
      </c>
      <c r="F8" s="16"/>
      <c r="G8" s="18">
        <v>2.5</v>
      </c>
      <c r="H8" s="40">
        <f>SUM(H16*0.12)+H16</f>
        <v>2103.91104</v>
      </c>
      <c r="I8" s="40">
        <f>SUM(H16*0.09)+H16</f>
        <v>2047.55628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2457.7760899999998</v>
      </c>
      <c r="D9" s="40">
        <f>SUM(C16*0.07)+C16</f>
        <v>2390.7458329999999</v>
      </c>
      <c r="E9" s="40">
        <f>SUM(C16*0.07)+C16</f>
        <v>2390.7458329999999</v>
      </c>
      <c r="F9" s="16"/>
      <c r="G9" s="18">
        <v>3.17</v>
      </c>
      <c r="H9" s="40">
        <f>SUM(H16*0.11)+H16</f>
        <v>2085.1261199999999</v>
      </c>
      <c r="I9" s="40">
        <f>SUM(H16*0.08)+H16</f>
        <v>2028.77136</v>
      </c>
      <c r="J9" s="40">
        <f>SUM(H16*0.08)+H16</f>
        <v>2028.77136</v>
      </c>
      <c r="K9" s="9"/>
    </row>
    <row r="10" spans="1:11" ht="15.75" x14ac:dyDescent="0.25">
      <c r="A10" s="1"/>
      <c r="B10" s="17">
        <v>0.65</v>
      </c>
      <c r="C10" s="40">
        <f>SUM(C16*0.12)+C16</f>
        <v>2502.4629279999999</v>
      </c>
      <c r="D10" s="40">
        <f>SUM(C16*0.09)+C16</f>
        <v>2435.432671</v>
      </c>
      <c r="E10" s="40" t="s">
        <v>2</v>
      </c>
      <c r="F10" s="16"/>
      <c r="G10" s="18" t="s">
        <v>4</v>
      </c>
      <c r="H10" s="40">
        <f>SUM(H16*0.1)+H16</f>
        <v>2066.3411999999998</v>
      </c>
      <c r="I10" s="40">
        <f>SUM(H16*0.07+H16)</f>
        <v>2009.9864399999999</v>
      </c>
      <c r="J10" s="40">
        <f>SUM(H16*0.07)+H16</f>
        <v>2009.9864399999999</v>
      </c>
      <c r="K10" s="9"/>
    </row>
    <row r="11" spans="1:11" ht="15.75" x14ac:dyDescent="0.25">
      <c r="A11" s="1"/>
      <c r="B11" s="17">
        <v>24</v>
      </c>
      <c r="C11" s="40">
        <f>SUM(C16*0.16)+C16</f>
        <v>2591.8366040000001</v>
      </c>
      <c r="D11" s="40">
        <f>SUM(C16*0.13)+C16</f>
        <v>2524.8063469999997</v>
      </c>
      <c r="E11" s="40" t="s">
        <v>2</v>
      </c>
      <c r="F11" s="16"/>
      <c r="G11" s="18">
        <v>6.35</v>
      </c>
      <c r="H11" s="40">
        <f>SUM(H16*0.11)+H16</f>
        <v>2085.1261199999999</v>
      </c>
      <c r="I11" s="40">
        <f>SUM(H16*0.08)+H16</f>
        <v>2028.77136</v>
      </c>
      <c r="J11" s="40">
        <f>SUM(H16*0.08)+H16</f>
        <v>2028.77136</v>
      </c>
      <c r="K11" s="9"/>
    </row>
    <row r="12" spans="1:11" ht="15.75" x14ac:dyDescent="0.25">
      <c r="A12" s="1"/>
      <c r="B12" s="17">
        <v>26</v>
      </c>
      <c r="C12" s="40">
        <f>SUM(C16*0.2)+C16</f>
        <v>2681.2102799999998</v>
      </c>
      <c r="D12" s="40">
        <f>SUM(C16*0.15)+C16</f>
        <v>2569.4931849999998</v>
      </c>
      <c r="E12" s="40" t="s">
        <v>2</v>
      </c>
      <c r="F12" s="16"/>
      <c r="G12" s="18">
        <v>8</v>
      </c>
      <c r="H12" s="40">
        <f>SUM(H16*0.11)+H16</f>
        <v>2085.1261199999999</v>
      </c>
      <c r="I12" s="40">
        <f>SUM(H16*0.08)+H16</f>
        <v>2028.77136</v>
      </c>
      <c r="J12" s="40">
        <f>SUM(H16*0.08)+H16</f>
        <v>2028.77136</v>
      </c>
      <c r="K12" s="9"/>
    </row>
    <row r="13" spans="1:11" ht="15.75" x14ac:dyDescent="0.25">
      <c r="A13" s="1"/>
      <c r="B13" s="17">
        <v>27</v>
      </c>
      <c r="C13" s="40">
        <f>SUM(C16*0.26)+C16</f>
        <v>2815.270794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2103.91104</v>
      </c>
      <c r="I13" s="40">
        <f>SUM(H16*0.09)+H16</f>
        <v>2047.55628</v>
      </c>
      <c r="J13" s="40">
        <f>SUM(H16*0.09)+H16</f>
        <v>2047.55628</v>
      </c>
      <c r="K13" s="9"/>
    </row>
    <row r="14" spans="1:11" ht="15.75" x14ac:dyDescent="0.25">
      <c r="A14" s="1"/>
      <c r="B14" s="17">
        <v>30</v>
      </c>
      <c r="C14" s="40">
        <f>SUM(C16*0.32)+C16</f>
        <v>2949.3313079999998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2103.91104</v>
      </c>
      <c r="I14" s="40">
        <f>SUM(H16*0.09)+H16</f>
        <v>2047.55628</v>
      </c>
      <c r="J14" s="40">
        <f>SUM(H16*0.09)+H16</f>
        <v>2047.55628</v>
      </c>
      <c r="K14" s="9"/>
    </row>
    <row r="15" spans="1:11" ht="16.5" thickBot="1" x14ac:dyDescent="0.3">
      <c r="A15" s="1"/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1:11" ht="16.5" thickBot="1" x14ac:dyDescent="0.3">
      <c r="A16" s="1"/>
      <c r="B16" s="14" t="s">
        <v>5</v>
      </c>
      <c r="C16" s="41">
        <f>SUM(INICIO!K16)</f>
        <v>2234.3418999999999</v>
      </c>
      <c r="D16" s="10"/>
      <c r="E16" s="10"/>
      <c r="F16" s="10"/>
      <c r="G16" s="26" t="s">
        <v>5</v>
      </c>
      <c r="H16" s="42">
        <f>SUM(INICIO!Q16)</f>
        <v>1878.492</v>
      </c>
      <c r="I16" s="10"/>
      <c r="J16" s="10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52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2231.6484959999998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2210.9850839999999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2231.6484959999998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1.5959584999999998</v>
      </c>
      <c r="D24" s="22">
        <f>SUM(C34*0.04)+C34</f>
        <v>1.551212</v>
      </c>
      <c r="E24" s="22">
        <f>SUM(C34*0.04)+C34</f>
        <v>1.551212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1.5959584999999998</v>
      </c>
      <c r="D25" s="22">
        <f>SUM(C34*0.04)+C34</f>
        <v>1.551212</v>
      </c>
      <c r="E25" s="22">
        <f>SUM(C34*0.04)+C34</f>
        <v>1.551212</v>
      </c>
      <c r="F25" s="16"/>
      <c r="G25" s="18">
        <v>2</v>
      </c>
      <c r="H25" s="22">
        <f>SUM(H34*0.14)+H34</f>
        <v>1.4295599999999999</v>
      </c>
      <c r="I25" s="22">
        <f>SUM(H34*0.11)+H34</f>
        <v>1.39194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1.6108739999999999</v>
      </c>
      <c r="D26" s="22">
        <f>SUM(C34*0.05)+C34</f>
        <v>1.5661274999999999</v>
      </c>
      <c r="E26" s="22">
        <f>SUM(C34*0.05)+C34</f>
        <v>1.5661274999999999</v>
      </c>
      <c r="F26" s="16"/>
      <c r="G26" s="18">
        <v>2.5</v>
      </c>
      <c r="H26" s="22">
        <f>SUM(H34*0.12)+H34</f>
        <v>1.40448</v>
      </c>
      <c r="I26" s="22">
        <f>SUM(H34*0.09)+H34</f>
        <v>1.36686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1.6407049999999999</v>
      </c>
      <c r="D27" s="22">
        <f>SUM(C34*0.07)+C34</f>
        <v>1.5959584999999998</v>
      </c>
      <c r="E27" s="22">
        <f>SUM(C34*0.07)+C34</f>
        <v>1.5959584999999998</v>
      </c>
      <c r="F27" s="16"/>
      <c r="G27" s="18">
        <v>3.17</v>
      </c>
      <c r="H27" s="22">
        <f>SUM(H34*0.11)+H34</f>
        <v>1.39194</v>
      </c>
      <c r="I27" s="22">
        <f>SUM(H34*0.08)+H34</f>
        <v>1.35432</v>
      </c>
      <c r="J27" s="22">
        <f>SUM(H34*0.08)+H34</f>
        <v>1.35432</v>
      </c>
      <c r="K27" s="9"/>
    </row>
    <row r="28" spans="1:11" s="1" customFormat="1" ht="15.75" x14ac:dyDescent="0.25">
      <c r="B28" s="17">
        <v>0.65</v>
      </c>
      <c r="C28" s="22">
        <f>SUM(C34*0.12)+C34</f>
        <v>1.6705359999999998</v>
      </c>
      <c r="D28" s="22">
        <f>SUM(C34*0.09)+C34</f>
        <v>1.6257895</v>
      </c>
      <c r="E28" s="23" t="s">
        <v>2</v>
      </c>
      <c r="F28" s="16"/>
      <c r="G28" s="18" t="s">
        <v>4</v>
      </c>
      <c r="H28" s="22">
        <f>SUM(H34*0.1)+H34</f>
        <v>1.3794</v>
      </c>
      <c r="I28" s="22">
        <f>SUM(H34*0.07+H34)</f>
        <v>1.34178</v>
      </c>
      <c r="J28" s="22">
        <f>SUM(H34*0.07)+H34</f>
        <v>1.34178</v>
      </c>
      <c r="K28" s="9"/>
    </row>
    <row r="29" spans="1:11" s="1" customFormat="1" ht="15.75" x14ac:dyDescent="0.25">
      <c r="B29" s="17">
        <v>24</v>
      </c>
      <c r="C29" s="22">
        <f>SUM(C34*0.16)+C34</f>
        <v>1.7301979999999999</v>
      </c>
      <c r="D29" s="22">
        <f>SUM(C34*0.13)+C34</f>
        <v>1.6854514999999999</v>
      </c>
      <c r="E29" s="23" t="s">
        <v>2</v>
      </c>
      <c r="F29" s="16"/>
      <c r="G29" s="18">
        <v>6.35</v>
      </c>
      <c r="H29" s="22">
        <f>SUM(H34*0.11)+H34</f>
        <v>1.39194</v>
      </c>
      <c r="I29" s="22">
        <f>SUM(H34*0.08)+H34</f>
        <v>1.35432</v>
      </c>
      <c r="J29" s="22">
        <f>SUM(H34*0.08)+H34</f>
        <v>1.35432</v>
      </c>
      <c r="K29" s="9"/>
    </row>
    <row r="30" spans="1:11" s="1" customFormat="1" ht="15.75" x14ac:dyDescent="0.25">
      <c r="B30" s="17">
        <v>26</v>
      </c>
      <c r="C30" s="22">
        <f>SUM(C34*0.2)+C34</f>
        <v>1.78986</v>
      </c>
      <c r="D30" s="22">
        <f>SUM(C34*0.15)+C34</f>
        <v>1.7152824999999998</v>
      </c>
      <c r="E30" s="23" t="s">
        <v>2</v>
      </c>
      <c r="F30" s="16"/>
      <c r="G30" s="18">
        <v>8</v>
      </c>
      <c r="H30" s="22">
        <f>SUM(H34*0.11)+H34</f>
        <v>1.39194</v>
      </c>
      <c r="I30" s="22">
        <f>SUM(H34*0.08)+H34</f>
        <v>1.35432</v>
      </c>
      <c r="J30" s="22">
        <f>SUM(H34*0.08)+H34</f>
        <v>1.35432</v>
      </c>
      <c r="K30" s="9"/>
    </row>
    <row r="31" spans="1:11" s="1" customFormat="1" ht="15.75" x14ac:dyDescent="0.25">
      <c r="B31" s="17">
        <v>27</v>
      </c>
      <c r="C31" s="22">
        <f>SUM(C34*0.26)+C34</f>
        <v>1.8793530000000001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1.40448</v>
      </c>
      <c r="I31" s="22">
        <f>SUM(H34*0.09)+H34</f>
        <v>1.36686</v>
      </c>
      <c r="J31" s="22">
        <f>SUM(H34*0.09)+H34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1.9688459999999999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1.40448</v>
      </c>
      <c r="I32" s="22">
        <f>SUM(H34*0.09)+H34</f>
        <v>1.36686</v>
      </c>
      <c r="J32" s="22">
        <f>SUM(H34*0.09)+H34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SUM(INICIO!J16)</f>
        <v>1.4915499999999999</v>
      </c>
      <c r="D34" s="10"/>
      <c r="E34" s="10"/>
      <c r="F34" s="10"/>
      <c r="G34" s="26" t="s">
        <v>5</v>
      </c>
      <c r="H34" s="27">
        <f>SUM(INICIO!P16)</f>
        <v>1.254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1.489752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1.4759579999999999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1.489752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3" spans="2:11" ht="15.75" x14ac:dyDescent="0.25">
      <c r="B43" s="14" t="s">
        <v>69</v>
      </c>
      <c r="C43" s="15">
        <v>1000</v>
      </c>
      <c r="D43" s="15">
        <v>1220</v>
      </c>
    </row>
    <row r="44" spans="2:11" ht="15.75" x14ac:dyDescent="0.25">
      <c r="B44" s="17" t="s">
        <v>70</v>
      </c>
      <c r="C44" s="40" t="s">
        <v>52</v>
      </c>
      <c r="D44" s="54" t="s">
        <v>52</v>
      </c>
    </row>
    <row r="45" spans="2:11" ht="15.75" x14ac:dyDescent="0.25">
      <c r="B45" s="17">
        <v>18</v>
      </c>
      <c r="C45" s="40" t="s">
        <v>52</v>
      </c>
      <c r="D45" s="54" t="s">
        <v>52</v>
      </c>
    </row>
    <row r="46" spans="2:11" ht="15.75" x14ac:dyDescent="0.25">
      <c r="B46" s="17">
        <v>20</v>
      </c>
      <c r="C46" s="40" t="s">
        <v>52</v>
      </c>
      <c r="D46" s="54" t="s">
        <v>52</v>
      </c>
    </row>
    <row r="47" spans="2:11" ht="15.75" x14ac:dyDescent="0.25">
      <c r="B47" s="17">
        <v>22</v>
      </c>
      <c r="C47" s="40" t="s">
        <v>68</v>
      </c>
      <c r="D47" s="67" t="s">
        <v>52</v>
      </c>
      <c r="E47" t="s">
        <v>52</v>
      </c>
    </row>
    <row r="48" spans="2:11" ht="15.75" x14ac:dyDescent="0.25">
      <c r="B48" s="17">
        <v>24</v>
      </c>
      <c r="C48" s="40" t="s">
        <v>52</v>
      </c>
      <c r="D48" s="40" t="s">
        <v>52</v>
      </c>
    </row>
    <row r="49" spans="2:4" ht="15.75" x14ac:dyDescent="0.25">
      <c r="B49" s="17">
        <v>25</v>
      </c>
      <c r="C49" s="40" t="s">
        <v>52</v>
      </c>
      <c r="D49" s="67" t="s">
        <v>52</v>
      </c>
    </row>
    <row r="50" spans="2:4" ht="15.75" x14ac:dyDescent="0.25">
      <c r="B50" s="17">
        <v>26</v>
      </c>
      <c r="C50" s="40" t="s">
        <v>52</v>
      </c>
      <c r="D50" s="40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"/>
  <sheetViews>
    <sheetView showGridLines="0" zoomScale="142" zoomScaleNormal="142" workbookViewId="0"/>
  </sheetViews>
  <sheetFormatPr baseColWidth="10" defaultColWidth="11.42578125" defaultRowHeight="15" x14ac:dyDescent="0.25"/>
  <cols>
    <col min="1" max="16384" width="11.42578125" style="1"/>
  </cols>
  <sheetData>
    <row r="1" spans="1:11" ht="15.75" thickBot="1" x14ac:dyDescent="0.3">
      <c r="A1" s="1" t="s">
        <v>52</v>
      </c>
    </row>
    <row r="2" spans="1:11" ht="19.5" thickBot="1" x14ac:dyDescent="0.3">
      <c r="B2" s="11" t="s">
        <v>15</v>
      </c>
      <c r="D2" s="263" t="str">
        <f>PROPER(INICIO!D17)</f>
        <v>Fabrical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2083.0768559999997</v>
      </c>
      <c r="I7" s="40">
        <f>SUM(H16*0.11)+H16</f>
        <v>2028.2590439999999</v>
      </c>
      <c r="J7" s="40" t="s">
        <v>2</v>
      </c>
      <c r="K7" s="9"/>
    </row>
    <row r="8" spans="1:11" ht="15.75" x14ac:dyDescent="0.25"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2046.5316479999999</v>
      </c>
      <c r="I8" s="40">
        <f>SUM(H16*0.09)+H16</f>
        <v>1991.7138359999999</v>
      </c>
      <c r="J8" s="40" t="s">
        <v>2</v>
      </c>
      <c r="K8" s="9"/>
    </row>
    <row r="9" spans="1:11" ht="15.75" x14ac:dyDescent="0.25"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2028.2590439999999</v>
      </c>
      <c r="I9" s="40">
        <f>SUM(H16*0.08)+H16</f>
        <v>1973.4412319999999</v>
      </c>
      <c r="J9" s="40">
        <f>SUM(H16*0.08)+H16</f>
        <v>1973.4412319999999</v>
      </c>
      <c r="K9" s="9"/>
    </row>
    <row r="10" spans="1:11" ht="15.75" x14ac:dyDescent="0.25"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SUM(H16*0.11)+H16</f>
        <v>2028.2590439999999</v>
      </c>
      <c r="I10" s="40">
        <f>SUM(H16*0.08+H16)</f>
        <v>1973.4412319999999</v>
      </c>
      <c r="J10" s="40">
        <f>SUM(H16*0.08)+H16</f>
        <v>1973.4412319999999</v>
      </c>
      <c r="K10" s="9"/>
    </row>
    <row r="11" spans="1:11" ht="15.75" x14ac:dyDescent="0.25"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2028.2590439999999</v>
      </c>
      <c r="I11" s="40">
        <f>SUM(H16*0.08)+H16</f>
        <v>1973.4412319999999</v>
      </c>
      <c r="J11" s="40">
        <f>SUM(H16*0.08)+H16</f>
        <v>1973.4412319999999</v>
      </c>
      <c r="K11" s="9"/>
    </row>
    <row r="12" spans="1:11" ht="15.75" x14ac:dyDescent="0.25"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2028.2590439999999</v>
      </c>
      <c r="I12" s="40">
        <f>SUM(H16*0.08)+H16</f>
        <v>1973.4412319999999</v>
      </c>
      <c r="J12" s="40">
        <f>SUM(H16*0.08)+H16</f>
        <v>1973.4412319999999</v>
      </c>
      <c r="K12" s="9"/>
    </row>
    <row r="13" spans="1:11" ht="15.75" x14ac:dyDescent="0.25"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2046.5316479999999</v>
      </c>
      <c r="I13" s="40">
        <f>SUM(H16*0.09)+H16</f>
        <v>1991.7138359999999</v>
      </c>
      <c r="J13" s="40">
        <f>SUM(H16*0.09)+H16</f>
        <v>1991.7138359999999</v>
      </c>
      <c r="K13" s="9"/>
    </row>
    <row r="14" spans="1:11" ht="15.75" x14ac:dyDescent="0.25"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2046.5316479999999</v>
      </c>
      <c r="I14" s="40">
        <f>SUM(H16*0.09)+H16</f>
        <v>1991.7138359999999</v>
      </c>
      <c r="J14" s="40">
        <f>SUM(H16*0.09)+H16</f>
        <v>1991.7138359999999</v>
      </c>
      <c r="K14" s="9"/>
    </row>
    <row r="15" spans="1:11" ht="16.5" thickBo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1:11" ht="16.5" thickBot="1" x14ac:dyDescent="0.3">
      <c r="B16" s="14" t="s">
        <v>5</v>
      </c>
      <c r="C16" s="41">
        <f>SUM(INICIO!K17)</f>
        <v>2176.0547200000001</v>
      </c>
      <c r="D16" s="10"/>
      <c r="E16" s="10" t="s">
        <v>52</v>
      </c>
      <c r="F16" s="10"/>
      <c r="G16" s="26" t="s">
        <v>5</v>
      </c>
      <c r="H16" s="42">
        <f>SUM(INICIO!Q17)</f>
        <v>1827.2603999999999</v>
      </c>
      <c r="I16" s="66" t="s">
        <v>98</v>
      </c>
      <c r="J16" s="218">
        <v>0.1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2170.7853551999997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2170.7853551999997</v>
      </c>
      <c r="F20" s="10"/>
      <c r="G20" s="10"/>
      <c r="H20" s="21"/>
      <c r="I20" s="10" t="s">
        <v>9</v>
      </c>
      <c r="J20" s="10"/>
      <c r="K20" s="9"/>
    </row>
    <row r="21" spans="2:11" ht="15.7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8.75" customHeight="1" thickBot="1" x14ac:dyDescent="0.3">
      <c r="B22" s="2"/>
    </row>
    <row r="23" spans="2:11" ht="19.5" thickBot="1" x14ac:dyDescent="0.35">
      <c r="B23" s="269" t="s">
        <v>31</v>
      </c>
      <c r="C23" s="270"/>
      <c r="D23" s="270"/>
      <c r="E23" s="270"/>
      <c r="F23" s="270"/>
      <c r="G23" s="270"/>
      <c r="H23" s="270"/>
      <c r="I23" s="270"/>
      <c r="J23" s="271"/>
    </row>
    <row r="24" spans="2:11" ht="15.75" x14ac:dyDescent="0.25">
      <c r="B24" s="14" t="s">
        <v>0</v>
      </c>
      <c r="C24" s="15">
        <v>1000</v>
      </c>
      <c r="D24" s="15">
        <v>1220</v>
      </c>
      <c r="E24" s="15">
        <v>1500</v>
      </c>
      <c r="F24" s="16"/>
      <c r="G24" s="25" t="s">
        <v>1</v>
      </c>
      <c r="H24" s="8">
        <v>1000</v>
      </c>
      <c r="I24" s="8">
        <v>1245</v>
      </c>
      <c r="J24" s="8">
        <v>1500</v>
      </c>
      <c r="K24" s="9"/>
    </row>
    <row r="25" spans="2:11" ht="15.75" x14ac:dyDescent="0.25">
      <c r="B25" s="17">
        <v>16</v>
      </c>
      <c r="C25" s="22">
        <f>SUM(C35*0.07)+C35</f>
        <v>1.5543247999999998</v>
      </c>
      <c r="D25" s="22">
        <f>SUM(C35*0.04)+C35</f>
        <v>1.5107455999999999</v>
      </c>
      <c r="E25" s="22">
        <f>SUM(C35*0.04)+C35</f>
        <v>1.5107455999999999</v>
      </c>
      <c r="F25" s="16"/>
      <c r="G25" s="18">
        <v>1.6</v>
      </c>
      <c r="H25" s="22" t="s">
        <v>2</v>
      </c>
      <c r="I25" s="23" t="s">
        <v>2</v>
      </c>
      <c r="J25" s="23" t="s">
        <v>2</v>
      </c>
      <c r="K25" s="9"/>
    </row>
    <row r="26" spans="2:11" ht="15.75" x14ac:dyDescent="0.25">
      <c r="B26" s="17">
        <v>18</v>
      </c>
      <c r="C26" s="22">
        <f>SUM(C35*0.07)+C35</f>
        <v>1.5543247999999998</v>
      </c>
      <c r="D26" s="22">
        <f>SUM(C35*0.04)+C35</f>
        <v>1.5107455999999999</v>
      </c>
      <c r="E26" s="22">
        <f>SUM(C35*0.04)+C35</f>
        <v>1.5107455999999999</v>
      </c>
      <c r="F26" s="16"/>
      <c r="G26" s="18">
        <v>2</v>
      </c>
      <c r="H26" s="22">
        <f>SUM(H35*0.14)+H35</f>
        <v>1.3905719999999999</v>
      </c>
      <c r="I26" s="22">
        <f>SUM(H35*0.11)+H35</f>
        <v>1.3539779999999999</v>
      </c>
      <c r="J26" s="23" t="s">
        <v>2</v>
      </c>
      <c r="K26" s="9"/>
    </row>
    <row r="27" spans="2:11" ht="15.75" x14ac:dyDescent="0.25">
      <c r="B27" s="17" t="s">
        <v>3</v>
      </c>
      <c r="C27" s="22">
        <f>SUM(C35*0.08)+C35</f>
        <v>1.5688511999999999</v>
      </c>
      <c r="D27" s="22">
        <f>SUM(C35*0.05)+C35</f>
        <v>1.525272</v>
      </c>
      <c r="E27" s="22">
        <f>SUM(C35*0.05)+C35</f>
        <v>1.525272</v>
      </c>
      <c r="F27" s="16"/>
      <c r="G27" s="18">
        <v>2.5</v>
      </c>
      <c r="H27" s="22">
        <f>SUM(H35*0.12)+H35</f>
        <v>1.3661760000000001</v>
      </c>
      <c r="I27" s="22">
        <f>SUM(H35*0.09)+H35</f>
        <v>1.329582</v>
      </c>
      <c r="J27" s="23" t="s">
        <v>2</v>
      </c>
      <c r="K27" s="9"/>
    </row>
    <row r="28" spans="2:11" ht="15.75" x14ac:dyDescent="0.25">
      <c r="B28" s="17">
        <v>22</v>
      </c>
      <c r="C28" s="22">
        <f>SUM(C35*0.1)+C35</f>
        <v>1.597904</v>
      </c>
      <c r="D28" s="22">
        <f>SUM(C35*0.07)+C35</f>
        <v>1.5543247999999998</v>
      </c>
      <c r="E28" s="22">
        <f>SUM(C35*0.07)+C35</f>
        <v>1.5543247999999998</v>
      </c>
      <c r="F28" s="16"/>
      <c r="G28" s="18">
        <v>3.17</v>
      </c>
      <c r="H28" s="22">
        <f>SUM(H35*0.11)+H35</f>
        <v>1.3539779999999999</v>
      </c>
      <c r="I28" s="22">
        <f>SUM(H35*0.08)+H35</f>
        <v>1.3173840000000001</v>
      </c>
      <c r="J28" s="22">
        <f>SUM(H35*0.08)+H35</f>
        <v>1.3173840000000001</v>
      </c>
      <c r="K28" s="9"/>
    </row>
    <row r="29" spans="2:11" ht="15.75" x14ac:dyDescent="0.25">
      <c r="B29" s="17">
        <v>0.65</v>
      </c>
      <c r="C29" s="22">
        <f>SUM(C35*0.12)+C35</f>
        <v>1.6269567999999999</v>
      </c>
      <c r="D29" s="22">
        <f>SUM(C35*0.09)+C35</f>
        <v>1.5833775999999999</v>
      </c>
      <c r="E29" s="23" t="s">
        <v>2</v>
      </c>
      <c r="F29" s="16"/>
      <c r="G29" s="18" t="s">
        <v>4</v>
      </c>
      <c r="H29" s="22">
        <f>SUM(H35*0.11)+H35</f>
        <v>1.3539779999999999</v>
      </c>
      <c r="I29" s="22">
        <f>SUM(H35*0.08+H35)</f>
        <v>1.3173840000000001</v>
      </c>
      <c r="J29" s="22">
        <f>SUM(H35*0.08)+H35</f>
        <v>1.3173840000000001</v>
      </c>
      <c r="K29" s="9"/>
    </row>
    <row r="30" spans="2:11" ht="15.75" x14ac:dyDescent="0.25">
      <c r="B30" s="17">
        <v>24</v>
      </c>
      <c r="C30" s="22">
        <f>SUM(C35*0.16)+C35</f>
        <v>1.6850623999999998</v>
      </c>
      <c r="D30" s="22">
        <f>SUM(C35*0.13)+C35</f>
        <v>1.6414831999999999</v>
      </c>
      <c r="E30" s="23" t="s">
        <v>2</v>
      </c>
      <c r="F30" s="16"/>
      <c r="G30" s="18">
        <v>6.35</v>
      </c>
      <c r="H30" s="22">
        <f>SUM(H35*0.11)+H35</f>
        <v>1.3539779999999999</v>
      </c>
      <c r="I30" s="22">
        <f>SUM(H35*0.08)+H35</f>
        <v>1.3173840000000001</v>
      </c>
      <c r="J30" s="22">
        <f>SUM(H35*0.08)+H35</f>
        <v>1.3173840000000001</v>
      </c>
      <c r="K30" s="9"/>
    </row>
    <row r="31" spans="2:11" ht="15.75" x14ac:dyDescent="0.25">
      <c r="B31" s="17">
        <v>26</v>
      </c>
      <c r="C31" s="22">
        <f>SUM(C35*0.2)+C35</f>
        <v>1.7431679999999998</v>
      </c>
      <c r="D31" s="22">
        <f>SUM(C35*0.15)+C35</f>
        <v>1.6705359999999998</v>
      </c>
      <c r="E31" s="23" t="s">
        <v>2</v>
      </c>
      <c r="F31" s="16"/>
      <c r="G31" s="18">
        <v>8</v>
      </c>
      <c r="H31" s="22">
        <f>SUM(H35*0.11)+H35</f>
        <v>1.3539779999999999</v>
      </c>
      <c r="I31" s="22">
        <f>SUM(H35*0.08)+H35</f>
        <v>1.3173840000000001</v>
      </c>
      <c r="J31" s="22">
        <f>SUM(H35*0.08)+H35</f>
        <v>1.3173840000000001</v>
      </c>
      <c r="K31" s="9"/>
    </row>
    <row r="32" spans="2:11" ht="15.75" x14ac:dyDescent="0.25">
      <c r="B32" s="17">
        <v>27</v>
      </c>
      <c r="C32" s="22">
        <f>SUM(C35*0.26)+C35</f>
        <v>1.8303263999999999</v>
      </c>
      <c r="D32" s="23" t="s">
        <v>2</v>
      </c>
      <c r="E32" s="23" t="s">
        <v>2</v>
      </c>
      <c r="F32" s="16"/>
      <c r="G32" s="18">
        <v>9.52</v>
      </c>
      <c r="H32" s="22">
        <f>SUM(H35*0.12)+H35</f>
        <v>1.3661760000000001</v>
      </c>
      <c r="I32" s="22">
        <f>SUM(H35*0.09)+H35</f>
        <v>1.329582</v>
      </c>
      <c r="J32" s="22">
        <f>SUM(H35*0.09)+H35</f>
        <v>1.329582</v>
      </c>
      <c r="K32" s="9"/>
    </row>
    <row r="33" spans="2:11" ht="15.75" x14ac:dyDescent="0.25">
      <c r="B33" s="17">
        <v>30</v>
      </c>
      <c r="C33" s="22">
        <f>SUM(C35*0.32)+C35</f>
        <v>1.9174848</v>
      </c>
      <c r="D33" s="23" t="s">
        <v>2</v>
      </c>
      <c r="E33" s="23" t="s">
        <v>2</v>
      </c>
      <c r="F33" s="16"/>
      <c r="G33" s="18">
        <v>12.7</v>
      </c>
      <c r="H33" s="22">
        <f>SUM(H35*0.12)+H35</f>
        <v>1.3661760000000001</v>
      </c>
      <c r="I33" s="22">
        <f>SUM(H35*0.09)+H35</f>
        <v>1.329582</v>
      </c>
      <c r="J33" s="22">
        <f>SUM(H35*0.09)+H35</f>
        <v>1.329582</v>
      </c>
      <c r="K33" s="9"/>
    </row>
    <row r="34" spans="2:11" ht="16.5" thickBot="1" x14ac:dyDescent="0.3">
      <c r="B34" s="10"/>
      <c r="C34" s="10"/>
      <c r="D34" s="10"/>
      <c r="E34" s="10"/>
      <c r="F34" s="10"/>
      <c r="G34" s="10"/>
      <c r="H34" s="10"/>
      <c r="I34" s="10"/>
      <c r="J34" s="10"/>
      <c r="K34" s="9"/>
    </row>
    <row r="35" spans="2:11" ht="16.5" thickBot="1" x14ac:dyDescent="0.3">
      <c r="B35" s="14" t="s">
        <v>5</v>
      </c>
      <c r="C35" s="24">
        <f>SUM(INICIO!J17)</f>
        <v>1.4526399999999999</v>
      </c>
      <c r="D35" s="10"/>
      <c r="E35" s="10"/>
      <c r="F35" s="10"/>
      <c r="G35" s="26" t="s">
        <v>5</v>
      </c>
      <c r="H35" s="27">
        <f>SUM(INICIO!P17)</f>
        <v>1.2198</v>
      </c>
      <c r="I35" s="10"/>
      <c r="J35" s="10"/>
      <c r="K35" s="9"/>
    </row>
    <row r="36" spans="2:11" ht="15.75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9"/>
    </row>
    <row r="37" spans="2:11" ht="15.75" x14ac:dyDescent="0.25">
      <c r="B37" s="17">
        <v>3.17</v>
      </c>
      <c r="C37" s="8">
        <v>1245</v>
      </c>
      <c r="D37" s="23" t="s">
        <v>6</v>
      </c>
      <c r="E37" s="22">
        <f>SUM(I28*0.1)+I28</f>
        <v>1.4491224</v>
      </c>
      <c r="F37" s="10"/>
      <c r="G37" s="10"/>
      <c r="H37" s="19"/>
      <c r="I37" s="10" t="s">
        <v>7</v>
      </c>
      <c r="J37" s="10"/>
      <c r="K37" s="9"/>
    </row>
    <row r="38" spans="2:11" ht="15.75" x14ac:dyDescent="0.25">
      <c r="B38" s="17">
        <v>4.75</v>
      </c>
      <c r="C38" s="8">
        <v>1500</v>
      </c>
      <c r="D38" s="23" t="s">
        <v>6</v>
      </c>
      <c r="E38" s="22">
        <f>SUM(J29*0.1)+J29</f>
        <v>1.4491224</v>
      </c>
      <c r="F38" s="10"/>
      <c r="G38" s="10"/>
      <c r="H38" s="20"/>
      <c r="I38" s="10" t="s">
        <v>8</v>
      </c>
      <c r="J38" s="10"/>
      <c r="K38" s="9"/>
    </row>
    <row r="39" spans="2:11" ht="15.75" x14ac:dyDescent="0.25">
      <c r="B39" s="17">
        <v>6.35</v>
      </c>
      <c r="C39" s="8">
        <v>1500</v>
      </c>
      <c r="D39" s="23" t="s">
        <v>6</v>
      </c>
      <c r="E39" s="22">
        <f>SUM(J30*0.1)+J30</f>
        <v>1.4491224</v>
      </c>
      <c r="F39" s="10"/>
      <c r="G39" s="10"/>
      <c r="H39" s="21"/>
      <c r="I39" s="10" t="s">
        <v>9</v>
      </c>
      <c r="J39" s="10"/>
      <c r="K39" s="9"/>
    </row>
    <row r="43" spans="2:11" ht="15.75" x14ac:dyDescent="0.25">
      <c r="B43" s="14" t="s">
        <v>69</v>
      </c>
      <c r="C43" s="15">
        <v>1000</v>
      </c>
      <c r="D43" s="15">
        <v>1220</v>
      </c>
    </row>
    <row r="44" spans="2:11" ht="15.75" x14ac:dyDescent="0.25">
      <c r="B44" s="14">
        <v>12</v>
      </c>
      <c r="C44" s="61">
        <v>0</v>
      </c>
      <c r="D44" s="61">
        <v>1.4</v>
      </c>
    </row>
    <row r="45" spans="2:11" ht="15.75" x14ac:dyDescent="0.25">
      <c r="B45" s="17" t="s">
        <v>83</v>
      </c>
      <c r="C45" s="22">
        <f>SUM(C55*0.07)+C55</f>
        <v>0</v>
      </c>
      <c r="D45" s="22">
        <v>1.4219999999999999</v>
      </c>
    </row>
    <row r="46" spans="2:11" ht="15.75" x14ac:dyDescent="0.25">
      <c r="B46" s="17">
        <v>18</v>
      </c>
      <c r="C46" s="22">
        <v>1.4730000000000001</v>
      </c>
      <c r="D46" s="22">
        <v>1.43</v>
      </c>
    </row>
    <row r="47" spans="2:11" ht="15.75" x14ac:dyDescent="0.25">
      <c r="B47" s="17">
        <v>20</v>
      </c>
      <c r="C47" s="22">
        <f>SUM(C55*0.08)+C55</f>
        <v>0</v>
      </c>
      <c r="D47" s="22">
        <v>1.4630000000000001</v>
      </c>
    </row>
    <row r="48" spans="2:11" ht="15.75" x14ac:dyDescent="0.25">
      <c r="B48" s="17">
        <v>22</v>
      </c>
      <c r="C48" s="22">
        <f>SUM(C57*0.07)+C57</f>
        <v>0</v>
      </c>
      <c r="D48" s="22">
        <v>1.48</v>
      </c>
    </row>
    <row r="49" spans="2:4" ht="15.75" x14ac:dyDescent="0.25">
      <c r="B49" s="17">
        <v>25</v>
      </c>
      <c r="C49" s="22">
        <f>SUM(C57*0.08)+C57</f>
        <v>0</v>
      </c>
      <c r="D49" s="22">
        <v>1.492</v>
      </c>
    </row>
  </sheetData>
  <mergeCells count="3">
    <mergeCell ref="D2:G2"/>
    <mergeCell ref="B4:J4"/>
    <mergeCell ref="B23:J23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2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1:11" ht="15.75" thickBot="1" x14ac:dyDescent="0.3">
      <c r="A1" s="1" t="s">
        <v>52</v>
      </c>
    </row>
    <row r="2" spans="1:11" ht="19.5" thickBot="1" x14ac:dyDescent="0.3">
      <c r="B2" s="11" t="s">
        <v>15</v>
      </c>
      <c r="D2" s="263" t="str">
        <f>PROPER(INICIO!D18)</f>
        <v>Pleg Hurlingham/Tasia/Lujan/San Nicolas/Mesquitq/Santodomingo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B6" s="17">
        <v>16</v>
      </c>
      <c r="C6" s="40">
        <f>SUM(C16*0.07)+C16</f>
        <v>2224.4330793999998</v>
      </c>
      <c r="D6" s="40">
        <f>SUM(C16*0.04)+C16</f>
        <v>2162.0657968</v>
      </c>
      <c r="E6" s="40">
        <f>SUM(C16*0.04)+C16</f>
        <v>2162.0657968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B7" s="17">
        <v>18</v>
      </c>
      <c r="C7" s="40">
        <f>SUM(C16*0.07)+C16</f>
        <v>2224.4330793999998</v>
      </c>
      <c r="D7" s="40">
        <f>SUM(C16*0.04)+C16</f>
        <v>2162.0657968</v>
      </c>
      <c r="E7" s="40">
        <f>SUM(C16*0.04)+C16</f>
        <v>2162.0657968</v>
      </c>
      <c r="F7" s="222" t="s">
        <v>52</v>
      </c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B8" s="17" t="s">
        <v>3</v>
      </c>
      <c r="C8" s="40">
        <f>SUM(C16*0.08)+C16</f>
        <v>2245.2221736000001</v>
      </c>
      <c r="D8" s="40">
        <f>SUM(C16*0.05)+C16</f>
        <v>2182.854891</v>
      </c>
      <c r="E8" s="40">
        <f>SUM(C16*0.05)+C16</f>
        <v>2182.854891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B9" s="17">
        <v>22</v>
      </c>
      <c r="C9" s="40">
        <f>SUM(C16*0.1)+C16</f>
        <v>2286.800362</v>
      </c>
      <c r="D9" s="40">
        <f>SUM(C16*0.07)+C16</f>
        <v>2224.4330793999998</v>
      </c>
      <c r="E9" s="40">
        <f>SUM(C16*0.07)+C16</f>
        <v>2224.4330793999998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B10" s="17">
        <v>0.65</v>
      </c>
      <c r="C10" s="40">
        <f>SUM(C16*0.12)+C16</f>
        <v>2328.3785503999998</v>
      </c>
      <c r="D10" s="40">
        <f>SUM(C16*0.09)+C16</f>
        <v>2266.0112678</v>
      </c>
      <c r="E10" s="40" t="s">
        <v>2</v>
      </c>
      <c r="F10" s="16"/>
      <c r="G10" s="18" t="s">
        <v>4</v>
      </c>
      <c r="H10" s="40">
        <f>SUM(H16*0.11)+H16</f>
        <v>1990.3476599999997</v>
      </c>
      <c r="I10" s="40">
        <f>SUM(H16*0.08+H16)</f>
        <v>1936.5544799999998</v>
      </c>
      <c r="J10" s="40">
        <f>SUM(H16*0.07)+H16</f>
        <v>1918.6234199999997</v>
      </c>
      <c r="K10" s="9"/>
    </row>
    <row r="11" spans="1:11" ht="15.75" x14ac:dyDescent="0.25">
      <c r="B11" s="17">
        <v>24</v>
      </c>
      <c r="C11" s="40">
        <f>SUM(C16*0.16)+C16</f>
        <v>2411.5349271999999</v>
      </c>
      <c r="D11" s="40">
        <f>SUM(C16*0.13)+C16</f>
        <v>2349.1676446000001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B12" s="17">
        <v>26</v>
      </c>
      <c r="C12" s="40">
        <f>SUM(C16*0.2)+C16</f>
        <v>2494.6913039999999</v>
      </c>
      <c r="D12" s="40">
        <f>SUM(C16*0.15)+C16</f>
        <v>2390.7458329999999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B13" s="17">
        <v>27</v>
      </c>
      <c r="C13" s="40">
        <f>SUM(C16*0.26)+C16</f>
        <v>2619.4258691999999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B14" s="17">
        <v>30</v>
      </c>
      <c r="C14" s="40">
        <f>SUM(C16*0.32)+C16</f>
        <v>2744.1604343999998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1:11" ht="16.5" thickBot="1" x14ac:dyDescent="0.3">
      <c r="B16" s="14" t="s">
        <v>5</v>
      </c>
      <c r="C16" s="41">
        <f>SUM(INICIO!K18)</f>
        <v>2078.90942</v>
      </c>
      <c r="D16" s="10"/>
      <c r="E16" s="10"/>
      <c r="F16" s="10"/>
      <c r="G16" s="26" t="s">
        <v>5</v>
      </c>
      <c r="H16" s="42">
        <f>SUM(INICIO!Q18)</f>
        <v>1793.1059999999998</v>
      </c>
      <c r="I16" s="10" t="s">
        <v>279</v>
      </c>
      <c r="J16" s="10" t="s">
        <v>283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 t="s">
        <v>325</v>
      </c>
      <c r="K17" s="9" t="s">
        <v>52</v>
      </c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 t="s">
        <v>356</v>
      </c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2:11" ht="15.7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8.75" thickBot="1" x14ac:dyDescent="0.3">
      <c r="B22" s="2"/>
    </row>
    <row r="23" spans="2:11" ht="19.5" thickBot="1" x14ac:dyDescent="0.35">
      <c r="B23" s="269" t="s">
        <v>31</v>
      </c>
      <c r="C23" s="270"/>
      <c r="D23" s="270"/>
      <c r="E23" s="270"/>
      <c r="F23" s="270"/>
      <c r="G23" s="270"/>
      <c r="H23" s="270"/>
      <c r="I23" s="270"/>
      <c r="J23" s="271"/>
    </row>
    <row r="24" spans="2:11" ht="15.75" x14ac:dyDescent="0.25">
      <c r="B24" s="14" t="s">
        <v>0</v>
      </c>
      <c r="C24" s="15">
        <v>1000</v>
      </c>
      <c r="D24" s="15">
        <v>1220</v>
      </c>
      <c r="E24" s="15">
        <v>1500</v>
      </c>
      <c r="F24" s="16"/>
      <c r="G24" s="25" t="s">
        <v>1</v>
      </c>
      <c r="H24" s="8">
        <v>1000</v>
      </c>
      <c r="I24" s="8">
        <v>1245</v>
      </c>
      <c r="J24" s="8">
        <v>1500</v>
      </c>
      <c r="K24" s="9"/>
    </row>
    <row r="25" spans="2:11" ht="15.75" x14ac:dyDescent="0.25">
      <c r="B25" s="17">
        <v>16</v>
      </c>
      <c r="C25" s="22">
        <f>SUM(C35*0.07)+C35</f>
        <v>1.4849352999999998</v>
      </c>
      <c r="D25" s="22">
        <f>SUM(C35*0.04)+C35</f>
        <v>1.4433015999999999</v>
      </c>
      <c r="E25" s="22">
        <f>SUM(C35*0.04)+C35</f>
        <v>1.4433015999999999</v>
      </c>
      <c r="F25" s="16"/>
      <c r="G25" s="18">
        <v>1.6</v>
      </c>
      <c r="H25" s="22" t="s">
        <v>2</v>
      </c>
      <c r="I25" s="23" t="s">
        <v>2</v>
      </c>
      <c r="J25" s="23" t="s">
        <v>2</v>
      </c>
      <c r="K25" s="9"/>
    </row>
    <row r="26" spans="2:11" ht="15.75" x14ac:dyDescent="0.25">
      <c r="B26" s="17">
        <v>18</v>
      </c>
      <c r="C26" s="22">
        <f>SUM(C35*0.07)+C35</f>
        <v>1.4849352999999998</v>
      </c>
      <c r="D26" s="22">
        <f>SUM(C35*0.04)+C35</f>
        <v>1.4433015999999999</v>
      </c>
      <c r="E26" s="22">
        <f>SUM(C35*0.04)+C35</f>
        <v>1.4433015999999999</v>
      </c>
      <c r="F26" s="16"/>
      <c r="G26" s="18">
        <v>2</v>
      </c>
      <c r="H26" s="22">
        <f>SUM(H35*0.14)+H35</f>
        <v>1.3645799999999999</v>
      </c>
      <c r="I26" s="22">
        <f>SUM(H35*0.11)+H35</f>
        <v>1.3286699999999998</v>
      </c>
      <c r="J26" s="23" t="s">
        <v>2</v>
      </c>
      <c r="K26" s="9"/>
    </row>
    <row r="27" spans="2:11" ht="15.75" x14ac:dyDescent="0.25">
      <c r="B27" s="17" t="s">
        <v>3</v>
      </c>
      <c r="C27" s="22">
        <f>SUM(C35*0.08)+C35</f>
        <v>1.4988131999999998</v>
      </c>
      <c r="D27" s="22">
        <f>SUM(C35*0.05)+C35</f>
        <v>1.4571794999999998</v>
      </c>
      <c r="E27" s="22">
        <f>SUM(C35*0.05)+C35</f>
        <v>1.4571794999999998</v>
      </c>
      <c r="F27" s="16"/>
      <c r="G27" s="18">
        <v>2.5</v>
      </c>
      <c r="H27" s="22">
        <f>SUM(H35*0.12)+H35</f>
        <v>1.3406399999999998</v>
      </c>
      <c r="I27" s="22">
        <f>SUM(H35*0.09)+H35</f>
        <v>1.3047299999999997</v>
      </c>
      <c r="J27" s="23" t="s">
        <v>2</v>
      </c>
      <c r="K27" s="9"/>
    </row>
    <row r="28" spans="2:11" ht="15.75" x14ac:dyDescent="0.25">
      <c r="B28" s="17">
        <v>22</v>
      </c>
      <c r="C28" s="22">
        <f>SUM(C35*0.1)+C35</f>
        <v>1.5265689999999998</v>
      </c>
      <c r="D28" s="22">
        <f>SUM(C35*0.07)+C35</f>
        <v>1.4849352999999998</v>
      </c>
      <c r="E28" s="22">
        <f>SUM(C35*0.07)+C35</f>
        <v>1.4849352999999998</v>
      </c>
      <c r="F28" s="16"/>
      <c r="G28" s="18">
        <v>3.17</v>
      </c>
      <c r="H28" s="22">
        <f>SUM(H35*0.11)+H35</f>
        <v>1.3286699999999998</v>
      </c>
      <c r="I28" s="22">
        <f>SUM(H35*0.08)+H35</f>
        <v>1.2927599999999999</v>
      </c>
      <c r="J28" s="22">
        <f>SUM(H35*0.08)+H35</f>
        <v>1.2927599999999999</v>
      </c>
      <c r="K28" s="9"/>
    </row>
    <row r="29" spans="2:11" ht="15.75" x14ac:dyDescent="0.25">
      <c r="B29" s="17">
        <v>0.65</v>
      </c>
      <c r="C29" s="22">
        <f>SUM(C35*0.12)+C35</f>
        <v>1.5543247999999998</v>
      </c>
      <c r="D29" s="22">
        <f>SUM(C35*0.09)+C35</f>
        <v>1.5126910999999998</v>
      </c>
      <c r="E29" s="23" t="s">
        <v>2</v>
      </c>
      <c r="F29" s="16"/>
      <c r="G29" s="18" t="s">
        <v>4</v>
      </c>
      <c r="H29" s="22">
        <f>SUM(H35*0.1)+H35</f>
        <v>1.3166999999999998</v>
      </c>
      <c r="I29" s="22">
        <f>SUM(H35*0.07+H35)</f>
        <v>1.2807899999999999</v>
      </c>
      <c r="J29" s="22">
        <f>SUM(H35*0.07)+H35</f>
        <v>1.2807899999999999</v>
      </c>
      <c r="K29" s="9"/>
    </row>
    <row r="30" spans="2:11" ht="15.75" x14ac:dyDescent="0.25">
      <c r="B30" s="17">
        <v>24</v>
      </c>
      <c r="C30" s="22">
        <f>SUM(C35*0.16)+C35</f>
        <v>1.6098363999999998</v>
      </c>
      <c r="D30" s="22">
        <f>SUM(C35*0.13)+C35</f>
        <v>1.5682026999999998</v>
      </c>
      <c r="E30" s="23" t="s">
        <v>2</v>
      </c>
      <c r="F30" s="16"/>
      <c r="G30" s="18">
        <v>6.35</v>
      </c>
      <c r="H30" s="22">
        <f>SUM(H35*0.11)+H35</f>
        <v>1.3286699999999998</v>
      </c>
      <c r="I30" s="22">
        <f>SUM(H35*0.08)+H35</f>
        <v>1.2927599999999999</v>
      </c>
      <c r="J30" s="22">
        <f>SUM(H35*0.08)+H35</f>
        <v>1.2927599999999999</v>
      </c>
      <c r="K30" s="9"/>
    </row>
    <row r="31" spans="2:11" ht="15.75" x14ac:dyDescent="0.25">
      <c r="B31" s="17">
        <v>26</v>
      </c>
      <c r="C31" s="22">
        <f>SUM(C35*0.2)+C35</f>
        <v>1.6653479999999998</v>
      </c>
      <c r="D31" s="22">
        <f>SUM(C35*0.15)+C35</f>
        <v>1.5959584999999998</v>
      </c>
      <c r="E31" s="23" t="s">
        <v>2</v>
      </c>
      <c r="F31" s="16"/>
      <c r="G31" s="18">
        <v>8</v>
      </c>
      <c r="H31" s="22">
        <f>SUM(H35*0.11)+H35</f>
        <v>1.3286699999999998</v>
      </c>
      <c r="I31" s="22">
        <f>SUM(H35*0.08)+H35</f>
        <v>1.2927599999999999</v>
      </c>
      <c r="J31" s="22">
        <f>SUM(H35*0.08)+H35</f>
        <v>1.2927599999999999</v>
      </c>
      <c r="K31" s="9"/>
    </row>
    <row r="32" spans="2:11" ht="15.75" x14ac:dyDescent="0.25">
      <c r="B32" s="17">
        <v>27</v>
      </c>
      <c r="C32" s="22">
        <f>SUM(C35*0.26)+C35</f>
        <v>1.7486153999999998</v>
      </c>
      <c r="D32" s="23" t="s">
        <v>2</v>
      </c>
      <c r="E32" s="23" t="s">
        <v>2</v>
      </c>
      <c r="F32" s="16"/>
      <c r="G32" s="18">
        <v>9.52</v>
      </c>
      <c r="H32" s="22">
        <f>SUM(H35*0.12)+H35</f>
        <v>1.3406399999999998</v>
      </c>
      <c r="I32" s="22">
        <f>SUM(H35*0.09)+H35</f>
        <v>1.3047299999999997</v>
      </c>
      <c r="J32" s="22">
        <f>SUM(H35*0.1)+H35</f>
        <v>1.3166999999999998</v>
      </c>
      <c r="K32" s="9"/>
    </row>
    <row r="33" spans="1:11" ht="15.75" x14ac:dyDescent="0.25">
      <c r="B33" s="17">
        <v>30</v>
      </c>
      <c r="C33" s="22">
        <f>SUM(C35*0.32)+C35</f>
        <v>1.8318827999999998</v>
      </c>
      <c r="D33" s="23" t="s">
        <v>2</v>
      </c>
      <c r="E33" s="23" t="s">
        <v>2</v>
      </c>
      <c r="F33" s="16"/>
      <c r="G33" s="18">
        <v>12.7</v>
      </c>
      <c r="H33" s="22">
        <f>SUM(H35*0.12)+H35</f>
        <v>1.3406399999999998</v>
      </c>
      <c r="I33" s="22">
        <f>SUM(H35*0.09)+H35</f>
        <v>1.3047299999999997</v>
      </c>
      <c r="J33" s="22">
        <f>SUM(H35*0.1)+H35</f>
        <v>1.3166999999999998</v>
      </c>
      <c r="K33" s="9"/>
    </row>
    <row r="34" spans="1:11" ht="16.5" thickBot="1" x14ac:dyDescent="0.3">
      <c r="B34" s="10"/>
      <c r="C34" s="10"/>
      <c r="D34" s="10"/>
      <c r="E34" s="10"/>
      <c r="F34" s="10"/>
      <c r="G34" s="10"/>
      <c r="H34" s="10"/>
      <c r="I34" s="10"/>
      <c r="J34" s="10"/>
      <c r="K34" s="9"/>
    </row>
    <row r="35" spans="1:11" ht="16.5" thickBot="1" x14ac:dyDescent="0.3">
      <c r="B35" s="14" t="s">
        <v>5</v>
      </c>
      <c r="C35" s="24">
        <f>SUM(INICIO!J18)</f>
        <v>1.3877899999999999</v>
      </c>
      <c r="D35" s="10"/>
      <c r="E35" s="10"/>
      <c r="F35" s="10"/>
      <c r="G35" s="26" t="s">
        <v>5</v>
      </c>
      <c r="H35" s="27">
        <f>SUM(INICIO!P18)</f>
        <v>1.1969999999999998</v>
      </c>
      <c r="I35" s="10"/>
      <c r="J35" s="10"/>
      <c r="K35" s="9"/>
    </row>
    <row r="36" spans="1:11" ht="15.75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9"/>
    </row>
    <row r="37" spans="1:11" ht="15.75" x14ac:dyDescent="0.25">
      <c r="B37" s="17">
        <v>3.17</v>
      </c>
      <c r="C37" s="8">
        <v>1245</v>
      </c>
      <c r="D37" s="23" t="s">
        <v>6</v>
      </c>
      <c r="E37" s="22">
        <f>SUM(I28*0.1)+I28</f>
        <v>1.4220359999999999</v>
      </c>
      <c r="F37" s="10"/>
      <c r="G37" s="10"/>
      <c r="H37" s="19"/>
      <c r="I37" s="10" t="s">
        <v>7</v>
      </c>
      <c r="J37" s="10"/>
      <c r="K37" s="9"/>
    </row>
    <row r="38" spans="1:11" ht="15.75" x14ac:dyDescent="0.25">
      <c r="B38" s="17">
        <v>4.75</v>
      </c>
      <c r="C38" s="8">
        <v>1500</v>
      </c>
      <c r="D38" s="23" t="s">
        <v>6</v>
      </c>
      <c r="E38" s="22">
        <f>SUM(J29*0.1)+J29</f>
        <v>1.4088689999999999</v>
      </c>
      <c r="F38" s="10"/>
      <c r="G38" s="10"/>
      <c r="H38" s="20"/>
      <c r="I38" s="10" t="s">
        <v>8</v>
      </c>
      <c r="J38" s="10"/>
      <c r="K38" s="9"/>
    </row>
    <row r="39" spans="1:11" ht="15.75" x14ac:dyDescent="0.25">
      <c r="B39" s="17">
        <v>6.35</v>
      </c>
      <c r="C39" s="8">
        <v>1500</v>
      </c>
      <c r="D39" s="23" t="s">
        <v>6</v>
      </c>
      <c r="E39" s="22">
        <f>SUM(J30*0.1)+J30</f>
        <v>1.4220359999999999</v>
      </c>
      <c r="F39" s="10"/>
      <c r="G39" s="10"/>
      <c r="H39" s="21"/>
      <c r="I39" s="10" t="s">
        <v>9</v>
      </c>
      <c r="J39" s="10"/>
      <c r="K39" s="9"/>
    </row>
    <row r="43" spans="1:11" x14ac:dyDescent="0.25">
      <c r="A43"/>
      <c r="B43"/>
      <c r="C43"/>
      <c r="D43"/>
      <c r="E43"/>
    </row>
    <row r="44" spans="1:11" x14ac:dyDescent="0.25">
      <c r="A44"/>
      <c r="B44"/>
    </row>
    <row r="45" spans="1:11" x14ac:dyDescent="0.25">
      <c r="A45"/>
      <c r="B45"/>
    </row>
    <row r="46" spans="1:11" x14ac:dyDescent="0.25">
      <c r="A46"/>
      <c r="B46"/>
    </row>
    <row r="47" spans="1:11" x14ac:dyDescent="0.25">
      <c r="A47"/>
      <c r="B47"/>
    </row>
    <row r="48" spans="1:11" x14ac:dyDescent="0.25">
      <c r="A48"/>
      <c r="B48"/>
    </row>
    <row r="49" spans="1:5" x14ac:dyDescent="0.25">
      <c r="A49"/>
      <c r="B49"/>
    </row>
    <row r="50" spans="1:5" x14ac:dyDescent="0.25">
      <c r="A50"/>
      <c r="B50"/>
    </row>
    <row r="51" spans="1:5" x14ac:dyDescent="0.25">
      <c r="A51"/>
      <c r="B51"/>
    </row>
    <row r="52" spans="1:5" x14ac:dyDescent="0.25">
      <c r="A52"/>
      <c r="B52"/>
      <c r="C52"/>
      <c r="D52"/>
      <c r="E52"/>
    </row>
  </sheetData>
  <mergeCells count="3">
    <mergeCell ref="D2:G2"/>
    <mergeCell ref="B4:J4"/>
    <mergeCell ref="B23:J2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8"/>
  <sheetViews>
    <sheetView showGridLines="0" zoomScaleNormal="100" workbookViewId="0"/>
  </sheetViews>
  <sheetFormatPr baseColWidth="10" defaultColWidth="11.42578125" defaultRowHeight="15" x14ac:dyDescent="0.25"/>
  <cols>
    <col min="1" max="16384" width="11.42578125" style="1"/>
  </cols>
  <sheetData>
    <row r="1" spans="1:12" ht="15.75" thickBot="1" x14ac:dyDescent="0.3">
      <c r="A1" s="1" t="s">
        <v>52</v>
      </c>
    </row>
    <row r="2" spans="1:12" ht="19.5" thickBot="1" x14ac:dyDescent="0.3">
      <c r="B2" s="11" t="s">
        <v>15</v>
      </c>
      <c r="D2" s="263" t="str">
        <f>PROPER(INICIO!D19)</f>
        <v>Oxpane Laser/Milsa/Viane</v>
      </c>
      <c r="E2" s="264"/>
      <c r="F2" s="264"/>
      <c r="G2" s="265"/>
    </row>
    <row r="3" spans="1:12" ht="15.75" thickBot="1" x14ac:dyDescent="0.3"/>
    <row r="4" spans="1:12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  <c r="L5" s="221" t="s">
        <v>52</v>
      </c>
    </row>
    <row r="6" spans="1:12" ht="15.75" x14ac:dyDescent="0.25"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222" t="s">
        <v>52</v>
      </c>
      <c r="G6" s="18">
        <v>1.6</v>
      </c>
      <c r="H6" s="40" t="s">
        <v>2</v>
      </c>
      <c r="I6" s="40" t="s">
        <v>2</v>
      </c>
      <c r="J6" s="40" t="s">
        <v>2</v>
      </c>
      <c r="K6" s="9"/>
      <c r="L6" s="221" t="s">
        <v>52</v>
      </c>
    </row>
    <row r="7" spans="1:12" ht="15.75" x14ac:dyDescent="0.25"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1966.268808</v>
      </c>
      <c r="I7" s="40">
        <f>SUM(H16*0.11)+H16</f>
        <v>1914.5248919999999</v>
      </c>
      <c r="J7" s="40" t="s">
        <v>2</v>
      </c>
      <c r="K7" s="9"/>
    </row>
    <row r="8" spans="1:12" ht="15.75" x14ac:dyDescent="0.25"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222" t="s">
        <v>52</v>
      </c>
      <c r="G8" s="18">
        <v>2.5</v>
      </c>
      <c r="H8" s="40">
        <f>SUM(H16*0.12)+H16</f>
        <v>1931.772864</v>
      </c>
      <c r="I8" s="40">
        <f>SUM(H16*0.09)+H16</f>
        <v>1880.0289479999999</v>
      </c>
      <c r="J8" s="40" t="s">
        <v>2</v>
      </c>
      <c r="K8" s="9"/>
    </row>
    <row r="9" spans="1:12" ht="15.75" x14ac:dyDescent="0.25"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1914.5248919999999</v>
      </c>
      <c r="I9" s="40">
        <f>SUM(H16*0.08)+H16</f>
        <v>1862.780976</v>
      </c>
      <c r="J9" s="40">
        <f>SUM(H16*0.08)+H16</f>
        <v>1862.780976</v>
      </c>
      <c r="K9" s="9"/>
    </row>
    <row r="10" spans="1:12" ht="15.75" x14ac:dyDescent="0.25"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SUM(H16*0.11)+H16</f>
        <v>1914.5248919999999</v>
      </c>
      <c r="I10" s="40">
        <f>SUM(H16*0.08+H16)</f>
        <v>1862.780976</v>
      </c>
      <c r="J10" s="40">
        <f>SUM(H16*0.08)+H16</f>
        <v>1862.780976</v>
      </c>
      <c r="K10" s="9"/>
    </row>
    <row r="11" spans="1:12" ht="15.75" x14ac:dyDescent="0.25"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1914.5248919999999</v>
      </c>
      <c r="I11" s="40">
        <f>SUM(H16*0.08)+H16</f>
        <v>1862.780976</v>
      </c>
      <c r="J11" s="40">
        <f>SUM(H16*0.08)+H16</f>
        <v>1862.780976</v>
      </c>
      <c r="K11" s="9"/>
    </row>
    <row r="12" spans="1:12" ht="15.75" x14ac:dyDescent="0.25"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1914.5248919999999</v>
      </c>
      <c r="I12" s="40">
        <f>SUM(H16*0.08)+H16</f>
        <v>1862.780976</v>
      </c>
      <c r="J12" s="40">
        <f>SUM(H16*0.08)+H16</f>
        <v>1862.780976</v>
      </c>
      <c r="K12" s="9"/>
    </row>
    <row r="13" spans="1:12" ht="15.75" x14ac:dyDescent="0.25"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1931.772864</v>
      </c>
      <c r="I13" s="40">
        <f>SUM(H16*0.09)+H16</f>
        <v>1880.0289479999999</v>
      </c>
      <c r="J13" s="40">
        <f>SUM(H16*0.09)+H16</f>
        <v>1880.0289479999999</v>
      </c>
      <c r="K13" s="9"/>
    </row>
    <row r="14" spans="1:12" ht="15.75" x14ac:dyDescent="0.25"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1931.772864</v>
      </c>
      <c r="I14" s="40">
        <f>SUM(H16*0.09)+H16</f>
        <v>1880.0289479999999</v>
      </c>
      <c r="J14" s="40">
        <f>SUM(H16*0.09)+H16</f>
        <v>1880.0289479999999</v>
      </c>
      <c r="K14" s="9"/>
    </row>
    <row r="15" spans="1:12" ht="16.5" thickBo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1:12" ht="16.5" thickBot="1" x14ac:dyDescent="0.3">
      <c r="B16" s="14" t="s">
        <v>5</v>
      </c>
      <c r="C16" s="41">
        <f>SUM(INICIO!K19)</f>
        <v>2059.48036</v>
      </c>
      <c r="D16" s="10"/>
      <c r="E16" s="10"/>
      <c r="F16" s="10"/>
      <c r="G16" s="26" t="s">
        <v>5</v>
      </c>
      <c r="H16" s="42">
        <f>SUM(INICIO!Q19)</f>
        <v>1724.7972</v>
      </c>
      <c r="I16" s="10"/>
      <c r="J16" s="10" t="s">
        <v>108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85" t="s">
        <v>331</v>
      </c>
      <c r="K17" s="9" t="s">
        <v>352</v>
      </c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2049.0590735999999</v>
      </c>
      <c r="F18" s="10"/>
      <c r="G18" s="10"/>
      <c r="H18" s="19"/>
      <c r="I18" s="10" t="s">
        <v>7</v>
      </c>
      <c r="J18" s="216" t="s">
        <v>286</v>
      </c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2049.0590735999999</v>
      </c>
      <c r="F19" s="10"/>
      <c r="G19" s="10"/>
      <c r="H19" s="20"/>
      <c r="I19" s="10" t="s">
        <v>8</v>
      </c>
      <c r="J19" s="10" t="s">
        <v>296</v>
      </c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2049.0590735999999</v>
      </c>
      <c r="F20" s="10"/>
      <c r="G20" s="10"/>
      <c r="H20" s="21"/>
      <c r="I20" s="10" t="s">
        <v>9</v>
      </c>
      <c r="J20" s="10"/>
      <c r="K20" s="9"/>
    </row>
    <row r="21" spans="2:11" ht="15.7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8.75" thickBot="1" x14ac:dyDescent="0.3">
      <c r="B22" s="2"/>
    </row>
    <row r="23" spans="2:11" ht="19.5" thickBot="1" x14ac:dyDescent="0.35">
      <c r="B23" s="269" t="s">
        <v>31</v>
      </c>
      <c r="C23" s="270"/>
      <c r="D23" s="270"/>
      <c r="E23" s="270"/>
      <c r="F23" s="270"/>
      <c r="G23" s="270"/>
      <c r="H23" s="270"/>
      <c r="I23" s="270"/>
      <c r="J23" s="271"/>
    </row>
    <row r="24" spans="2:11" ht="15.75" x14ac:dyDescent="0.25">
      <c r="B24" s="14" t="s">
        <v>0</v>
      </c>
      <c r="C24" s="15">
        <v>1000</v>
      </c>
      <c r="D24" s="15">
        <v>1220</v>
      </c>
      <c r="E24" s="15">
        <v>1500</v>
      </c>
      <c r="F24" s="16"/>
      <c r="G24" s="25" t="s">
        <v>1</v>
      </c>
      <c r="H24" s="8">
        <v>1000</v>
      </c>
      <c r="I24" s="8">
        <v>1245</v>
      </c>
      <c r="J24" s="8">
        <v>1500</v>
      </c>
      <c r="K24" s="9"/>
    </row>
    <row r="25" spans="2:11" ht="15.75" x14ac:dyDescent="0.25">
      <c r="B25" s="17">
        <v>16</v>
      </c>
      <c r="C25" s="22">
        <f>SUM(C35*0.07)+C35</f>
        <v>1.4710573999999998</v>
      </c>
      <c r="D25" s="22">
        <f>SUM(C35*0.04)+C35</f>
        <v>1.4298127999999999</v>
      </c>
      <c r="E25" s="22">
        <f>SUM(C35*0.04)+C35</f>
        <v>1.4298127999999999</v>
      </c>
      <c r="F25" s="16"/>
      <c r="G25" s="18">
        <v>1.6</v>
      </c>
      <c r="H25" s="22" t="s">
        <v>2</v>
      </c>
      <c r="I25" s="23" t="s">
        <v>2</v>
      </c>
      <c r="J25" s="23" t="s">
        <v>2</v>
      </c>
      <c r="K25" s="9"/>
    </row>
    <row r="26" spans="2:11" ht="15.75" x14ac:dyDescent="0.25">
      <c r="B26" s="17">
        <v>18</v>
      </c>
      <c r="C26" s="22">
        <f>SUM(C35*0.07)+C35</f>
        <v>1.4710573999999998</v>
      </c>
      <c r="D26" s="22">
        <f>SUM(C35*0.04)+C35</f>
        <v>1.4298127999999999</v>
      </c>
      <c r="E26" s="22">
        <f>SUM(C35*0.04)+C35</f>
        <v>1.4298127999999999</v>
      </c>
      <c r="F26" s="16"/>
      <c r="G26" s="18">
        <v>2</v>
      </c>
      <c r="H26" s="22">
        <f>SUM(H35*0.14)+H35</f>
        <v>1.3125960000000001</v>
      </c>
      <c r="I26" s="22">
        <f>SUM(H35*0.11)+H35</f>
        <v>1.278054</v>
      </c>
      <c r="J26" s="23" t="s">
        <v>2</v>
      </c>
      <c r="K26" s="9"/>
    </row>
    <row r="27" spans="2:11" ht="15.75" x14ac:dyDescent="0.25">
      <c r="B27" s="17" t="s">
        <v>3</v>
      </c>
      <c r="C27" s="22">
        <f>SUM(C35*0.08)+C35</f>
        <v>1.4848055999999998</v>
      </c>
      <c r="D27" s="22">
        <f>SUM(C35*0.05)+C35</f>
        <v>1.4435609999999999</v>
      </c>
      <c r="E27" s="22">
        <f>SUM(C35*0.05)+C35</f>
        <v>1.4435609999999999</v>
      </c>
      <c r="F27" s="16"/>
      <c r="G27" s="18">
        <v>2.5</v>
      </c>
      <c r="H27" s="22">
        <f>SUM(H35*0.12)+H35</f>
        <v>1.289568</v>
      </c>
      <c r="I27" s="22">
        <f>SUM(H35*0.09)+H35</f>
        <v>1.255026</v>
      </c>
      <c r="J27" s="23" t="s">
        <v>2</v>
      </c>
      <c r="K27" s="9"/>
    </row>
    <row r="28" spans="2:11" ht="15.75" x14ac:dyDescent="0.25">
      <c r="B28" s="17">
        <v>22</v>
      </c>
      <c r="C28" s="22">
        <f>SUM(C35*0.1)+C35</f>
        <v>1.512302</v>
      </c>
      <c r="D28" s="22">
        <f>SUM(C35*0.07)+C35</f>
        <v>1.4710573999999998</v>
      </c>
      <c r="E28" s="22">
        <f>SUM(C35*0.07)+C35</f>
        <v>1.4710573999999998</v>
      </c>
      <c r="F28" s="16"/>
      <c r="G28" s="18">
        <v>3.17</v>
      </c>
      <c r="H28" s="22">
        <f>SUM(H35*0.11)+H35</f>
        <v>1.278054</v>
      </c>
      <c r="I28" s="22">
        <f>SUM(H35*0.08)+H35</f>
        <v>1.243512</v>
      </c>
      <c r="J28" s="22">
        <f>SUM(H35*0.08)+H35</f>
        <v>1.243512</v>
      </c>
      <c r="K28" s="9"/>
    </row>
    <row r="29" spans="2:11" ht="15.75" x14ac:dyDescent="0.25">
      <c r="B29" s="17">
        <v>0.65</v>
      </c>
      <c r="C29" s="22">
        <f>SUM(C35*0.12)+C35</f>
        <v>1.5397984</v>
      </c>
      <c r="D29" s="22">
        <f>SUM(C35*0.09)+C35</f>
        <v>1.4985537999999998</v>
      </c>
      <c r="E29" s="23" t="s">
        <v>2</v>
      </c>
      <c r="F29" s="16"/>
      <c r="G29" s="18" t="s">
        <v>4</v>
      </c>
      <c r="H29" s="22">
        <f>SUM(H35*0.1)+H35</f>
        <v>1.26654</v>
      </c>
      <c r="I29" s="22">
        <f>SUM(H35*0.07+H35)</f>
        <v>1.2319979999999999</v>
      </c>
      <c r="J29" s="22">
        <f>SUM(H35*0.07)+H35</f>
        <v>1.2319979999999999</v>
      </c>
      <c r="K29" s="9"/>
    </row>
    <row r="30" spans="2:11" ht="15.75" x14ac:dyDescent="0.25">
      <c r="B30" s="17">
        <v>24</v>
      </c>
      <c r="C30" s="22">
        <f>SUM(C35*0.16)+C35</f>
        <v>1.5947912</v>
      </c>
      <c r="D30" s="22">
        <f>SUM(C35*0.13)+C35</f>
        <v>1.5535466</v>
      </c>
      <c r="E30" s="23" t="s">
        <v>2</v>
      </c>
      <c r="F30" s="16"/>
      <c r="G30" s="18">
        <v>6.35</v>
      </c>
      <c r="H30" s="22">
        <f>SUM(H35*0.11)+H35</f>
        <v>1.278054</v>
      </c>
      <c r="I30" s="22">
        <f>SUM(H35*0.08)+H35</f>
        <v>1.243512</v>
      </c>
      <c r="J30" s="22">
        <f>SUM(H35*0.08)+H35</f>
        <v>1.243512</v>
      </c>
      <c r="K30" s="9"/>
    </row>
    <row r="31" spans="2:11" ht="15.75" x14ac:dyDescent="0.25">
      <c r="B31" s="17">
        <v>26</v>
      </c>
      <c r="C31" s="22">
        <f>SUM(C35*0.2)+C35</f>
        <v>1.6497839999999999</v>
      </c>
      <c r="D31" s="22">
        <f>SUM(C35*0.15)+C35</f>
        <v>1.581043</v>
      </c>
      <c r="E31" s="23" t="s">
        <v>2</v>
      </c>
      <c r="F31" s="16"/>
      <c r="G31" s="18">
        <v>8</v>
      </c>
      <c r="H31" s="22">
        <f>SUM(H35*0.11)+H35</f>
        <v>1.278054</v>
      </c>
      <c r="I31" s="22">
        <f>SUM(H35*0.08)+H35</f>
        <v>1.243512</v>
      </c>
      <c r="J31" s="22">
        <f>SUM(H35*0.08)+H35</f>
        <v>1.243512</v>
      </c>
      <c r="K31" s="9"/>
    </row>
    <row r="32" spans="2:11" ht="15.75" x14ac:dyDescent="0.25">
      <c r="B32" s="17">
        <v>27</v>
      </c>
      <c r="C32" s="22">
        <f>SUM(C35*0.26)+C35</f>
        <v>1.7322731999999998</v>
      </c>
      <c r="D32" s="23" t="s">
        <v>2</v>
      </c>
      <c r="E32" s="23" t="s">
        <v>2</v>
      </c>
      <c r="F32" s="16"/>
      <c r="G32" s="18">
        <v>9.52</v>
      </c>
      <c r="H32" s="22">
        <f>SUM(H35*0.12)+H35</f>
        <v>1.289568</v>
      </c>
      <c r="I32" s="22">
        <f>SUM(H35*0.09)+H35</f>
        <v>1.255026</v>
      </c>
      <c r="J32" s="22">
        <f>SUM(H35*0.09)+H35</f>
        <v>1.255026</v>
      </c>
      <c r="K32" s="9"/>
    </row>
    <row r="33" spans="2:11" ht="15.75" x14ac:dyDescent="0.25">
      <c r="B33" s="17">
        <v>30</v>
      </c>
      <c r="C33" s="22">
        <f>SUM(C35*0.32)+C35</f>
        <v>1.8147624</v>
      </c>
      <c r="D33" s="23" t="s">
        <v>2</v>
      </c>
      <c r="E33" s="23" t="s">
        <v>2</v>
      </c>
      <c r="F33" s="16"/>
      <c r="G33" s="18">
        <v>12.7</v>
      </c>
      <c r="H33" s="22">
        <f>SUM(H35*0.12)+H35</f>
        <v>1.289568</v>
      </c>
      <c r="I33" s="22">
        <f>SUM(H35*0.09)+H35</f>
        <v>1.255026</v>
      </c>
      <c r="J33" s="22">
        <f>SUM(H35*0.09)+H35</f>
        <v>1.255026</v>
      </c>
      <c r="K33" s="9"/>
    </row>
    <row r="34" spans="2:11" ht="16.5" thickBot="1" x14ac:dyDescent="0.3">
      <c r="B34" s="10"/>
      <c r="C34" s="10"/>
      <c r="D34" s="10"/>
      <c r="E34" s="10"/>
      <c r="F34" s="10"/>
      <c r="G34" s="10"/>
      <c r="H34" s="10"/>
      <c r="I34" s="10"/>
      <c r="J34" s="10"/>
      <c r="K34" s="9"/>
    </row>
    <row r="35" spans="2:11" ht="16.5" thickBot="1" x14ac:dyDescent="0.3">
      <c r="B35" s="14" t="s">
        <v>5</v>
      </c>
      <c r="C35" s="24">
        <f>SUM(INICIO!J19)</f>
        <v>1.3748199999999999</v>
      </c>
      <c r="D35" s="10"/>
      <c r="E35" s="10"/>
      <c r="F35" s="10"/>
      <c r="G35" s="26" t="s">
        <v>5</v>
      </c>
      <c r="H35" s="27">
        <f>SUM(INICIO!P19)</f>
        <v>1.1514</v>
      </c>
      <c r="I35" s="10"/>
      <c r="J35" s="10"/>
      <c r="K35" s="9"/>
    </row>
    <row r="36" spans="2:11" ht="15.75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9"/>
    </row>
    <row r="37" spans="2:11" ht="15.75" x14ac:dyDescent="0.25">
      <c r="B37" s="17">
        <v>3.17</v>
      </c>
      <c r="C37" s="8">
        <v>1245</v>
      </c>
      <c r="D37" s="23" t="s">
        <v>6</v>
      </c>
      <c r="E37" s="22">
        <f>SUM(I28*0.1)+I28</f>
        <v>1.3678631999999999</v>
      </c>
      <c r="F37" s="10"/>
      <c r="G37" s="10"/>
      <c r="H37" s="19"/>
      <c r="I37" s="10" t="s">
        <v>7</v>
      </c>
      <c r="J37" s="10"/>
      <c r="K37" s="9"/>
    </row>
    <row r="38" spans="2:11" ht="15.75" x14ac:dyDescent="0.25">
      <c r="B38" s="17">
        <v>4.75</v>
      </c>
      <c r="C38" s="8">
        <v>1500</v>
      </c>
      <c r="D38" s="23" t="s">
        <v>6</v>
      </c>
      <c r="E38" s="22">
        <f>SUM(J29*0.1)+J29</f>
        <v>1.3551978</v>
      </c>
      <c r="F38" s="10"/>
      <c r="G38" s="10"/>
      <c r="H38" s="20"/>
      <c r="I38" s="10" t="s">
        <v>8</v>
      </c>
      <c r="J38" s="10"/>
      <c r="K38" s="9"/>
    </row>
    <row r="39" spans="2:11" ht="15.75" x14ac:dyDescent="0.25">
      <c r="B39" s="17">
        <v>6.35</v>
      </c>
      <c r="C39" s="8">
        <v>1500</v>
      </c>
      <c r="D39" s="23" t="s">
        <v>6</v>
      </c>
      <c r="E39" s="22">
        <f>SUM(J30*0.1)+J30</f>
        <v>1.3678631999999999</v>
      </c>
      <c r="F39" s="10"/>
      <c r="G39" s="10"/>
      <c r="H39" s="21"/>
      <c r="I39" s="10" t="s">
        <v>9</v>
      </c>
      <c r="J39" s="10"/>
      <c r="K39" s="9"/>
    </row>
    <row r="43" spans="2:11" ht="15.75" x14ac:dyDescent="0.25">
      <c r="B43" s="14" t="s">
        <v>52</v>
      </c>
      <c r="C43" s="15" t="s">
        <v>52</v>
      </c>
    </row>
    <row r="44" spans="2:11" ht="15.75" x14ac:dyDescent="0.25">
      <c r="B44" s="17" t="s">
        <v>52</v>
      </c>
      <c r="C44" s="22" t="s">
        <v>52</v>
      </c>
    </row>
    <row r="45" spans="2:11" ht="15.75" x14ac:dyDescent="0.25">
      <c r="B45" s="17" t="s">
        <v>52</v>
      </c>
      <c r="C45" s="22" t="s">
        <v>52</v>
      </c>
    </row>
    <row r="46" spans="2:11" ht="15.75" x14ac:dyDescent="0.25">
      <c r="B46" s="17" t="s">
        <v>52</v>
      </c>
      <c r="C46" s="22" t="s">
        <v>52</v>
      </c>
    </row>
    <row r="47" spans="2:11" ht="15.75" x14ac:dyDescent="0.25">
      <c r="B47" s="17" t="s">
        <v>52</v>
      </c>
      <c r="C47" s="22" t="s">
        <v>52</v>
      </c>
    </row>
    <row r="48" spans="2:11" ht="15.75" x14ac:dyDescent="0.25">
      <c r="B48" s="17" t="s">
        <v>52</v>
      </c>
      <c r="C48" s="22" t="s">
        <v>52</v>
      </c>
    </row>
  </sheetData>
  <mergeCells count="3">
    <mergeCell ref="D2:G2"/>
    <mergeCell ref="B4:J4"/>
    <mergeCell ref="B23:J23"/>
  </mergeCells>
  <pageMargins left="0.7" right="0.7" top="0.75" bottom="0.75" header="0.3" footer="0.3"/>
  <pageSetup scale="7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9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1" ht="15.75" thickBot="1" x14ac:dyDescent="0.3"/>
    <row r="2" spans="2:11" ht="19.5" thickBot="1" x14ac:dyDescent="0.3">
      <c r="B2" s="11" t="s">
        <v>15</v>
      </c>
      <c r="D2" s="263" t="str">
        <f>PROPER(INICIO!D21)</f>
        <v>Cormot/Geluma/Merigui/Lumak</v>
      </c>
      <c r="E2" s="264"/>
      <c r="F2" s="264"/>
      <c r="G2" s="265"/>
    </row>
    <row r="3" spans="2:11" ht="15.75" thickBot="1" x14ac:dyDescent="0.3"/>
    <row r="4" spans="2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2:11" ht="15.75" x14ac:dyDescent="0.25"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2:11" ht="15.75" x14ac:dyDescent="0.25"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2:11" ht="15.75" x14ac:dyDescent="0.25"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2:11" ht="15.75" x14ac:dyDescent="0.25"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2:11" ht="15.75" x14ac:dyDescent="0.25"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2:11" ht="15.75" x14ac:dyDescent="0.25"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2:11" ht="15.75" x14ac:dyDescent="0.25"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2:11" ht="15.75" x14ac:dyDescent="0.25"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9"/>
    </row>
    <row r="14" spans="2:11" ht="15.75" x14ac:dyDescent="0.25"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9"/>
    </row>
    <row r="15" spans="2:11" ht="16.5" thickBot="1" x14ac:dyDescent="0.3">
      <c r="B15" s="10"/>
      <c r="C15" s="10"/>
      <c r="D15" s="10"/>
      <c r="E15" s="10"/>
      <c r="F15" s="10"/>
      <c r="G15" s="10"/>
      <c r="H15" s="43"/>
      <c r="I15" s="43"/>
      <c r="J15" s="43"/>
      <c r="K15" s="9"/>
    </row>
    <row r="16" spans="2:11" ht="16.5" thickBot="1" x14ac:dyDescent="0.3">
      <c r="B16" s="14" t="s">
        <v>5</v>
      </c>
      <c r="C16" s="41">
        <f>SUM(INICIO!K21)</f>
        <v>2176.0547200000001</v>
      </c>
      <c r="D16" s="10"/>
      <c r="E16" s="10"/>
      <c r="F16" s="10"/>
      <c r="G16" s="26" t="s">
        <v>5</v>
      </c>
      <c r="H16" s="42">
        <f>SUM(INICIO!Q21)</f>
        <v>1861.4147999999998</v>
      </c>
      <c r="I16" s="10"/>
      <c r="J16" s="10" t="s">
        <v>218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 t="s">
        <v>52</v>
      </c>
      <c r="K17" s="9" t="s">
        <v>52</v>
      </c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2:11" ht="15.7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8.75" thickBot="1" x14ac:dyDescent="0.3">
      <c r="B22" s="2"/>
    </row>
    <row r="23" spans="2:11" ht="19.5" thickBot="1" x14ac:dyDescent="0.35">
      <c r="B23" s="269" t="s">
        <v>31</v>
      </c>
      <c r="C23" s="270"/>
      <c r="D23" s="270"/>
      <c r="E23" s="270"/>
      <c r="F23" s="270"/>
      <c r="G23" s="270"/>
      <c r="H23" s="270"/>
      <c r="I23" s="270"/>
      <c r="J23" s="271"/>
    </row>
    <row r="24" spans="2:11" ht="15.75" x14ac:dyDescent="0.25">
      <c r="B24" s="14" t="s">
        <v>0</v>
      </c>
      <c r="C24" s="15">
        <v>1000</v>
      </c>
      <c r="D24" s="15">
        <v>1220</v>
      </c>
      <c r="E24" s="15">
        <v>1500</v>
      </c>
      <c r="F24" s="16"/>
      <c r="G24" s="25" t="s">
        <v>1</v>
      </c>
      <c r="H24" s="8">
        <v>1000</v>
      </c>
      <c r="I24" s="8">
        <v>1245</v>
      </c>
      <c r="J24" s="8">
        <v>1500</v>
      </c>
      <c r="K24" s="9"/>
    </row>
    <row r="25" spans="2:11" ht="15.75" x14ac:dyDescent="0.25">
      <c r="B25" s="17">
        <v>16</v>
      </c>
      <c r="C25" s="22">
        <f>SUM(C35*0.07)+C35</f>
        <v>1.5543247999999998</v>
      </c>
      <c r="D25" s="22">
        <f>SUM(C35*0.04)+C35</f>
        <v>1.5107455999999999</v>
      </c>
      <c r="E25" s="22">
        <f>SUM(C35*0.04)+C35</f>
        <v>1.5107455999999999</v>
      </c>
      <c r="F25" s="16"/>
      <c r="G25" s="18">
        <v>1.6</v>
      </c>
      <c r="H25" s="22" t="s">
        <v>2</v>
      </c>
      <c r="I25" s="23" t="s">
        <v>2</v>
      </c>
      <c r="J25" s="23" t="s">
        <v>2</v>
      </c>
      <c r="K25" s="9"/>
    </row>
    <row r="26" spans="2:11" ht="15.75" x14ac:dyDescent="0.25">
      <c r="B26" s="17">
        <v>18</v>
      </c>
      <c r="C26" s="22">
        <f>SUM(C35*0.07)+C35</f>
        <v>1.5543247999999998</v>
      </c>
      <c r="D26" s="22">
        <f>SUM(C35*0.04)+C35</f>
        <v>1.5107455999999999</v>
      </c>
      <c r="E26" s="22">
        <f>SUM(C35*0.04)+C35</f>
        <v>1.5107455999999999</v>
      </c>
      <c r="F26" s="16"/>
      <c r="G26" s="18">
        <v>2</v>
      </c>
      <c r="H26" s="22">
        <f>SUM(H35*0.14)+H35</f>
        <v>1.4165639999999999</v>
      </c>
      <c r="I26" s="22">
        <f>SUM(H35*0.11)+H35</f>
        <v>1.379286</v>
      </c>
      <c r="J26" s="23" t="s">
        <v>2</v>
      </c>
      <c r="K26" s="9"/>
    </row>
    <row r="27" spans="2:11" ht="15.75" x14ac:dyDescent="0.25">
      <c r="B27" s="17" t="s">
        <v>3</v>
      </c>
      <c r="C27" s="22">
        <f>SUM(C35*0.08)+C35</f>
        <v>1.5688511999999999</v>
      </c>
      <c r="D27" s="22">
        <f>SUM(C35*0.05)+C35</f>
        <v>1.525272</v>
      </c>
      <c r="E27" s="22">
        <f>SUM(C35*0.05)+C35</f>
        <v>1.525272</v>
      </c>
      <c r="F27" s="16"/>
      <c r="G27" s="18">
        <v>2.5</v>
      </c>
      <c r="H27" s="22">
        <f>SUM(H35*0.12)+H35</f>
        <v>1.3917119999999998</v>
      </c>
      <c r="I27" s="22">
        <f>SUM(H35*0.09)+H35</f>
        <v>1.3544339999999999</v>
      </c>
      <c r="J27" s="23" t="s">
        <v>2</v>
      </c>
      <c r="K27" s="9"/>
    </row>
    <row r="28" spans="2:11" ht="15.75" x14ac:dyDescent="0.25">
      <c r="B28" s="17">
        <v>22</v>
      </c>
      <c r="C28" s="22">
        <f>SUM(C35*0.1)+C35</f>
        <v>1.597904</v>
      </c>
      <c r="D28" s="22">
        <f>SUM(C35*0.07)+C35</f>
        <v>1.5543247999999998</v>
      </c>
      <c r="E28" s="22">
        <f>SUM(C35*0.07)+C35</f>
        <v>1.5543247999999998</v>
      </c>
      <c r="F28" s="16"/>
      <c r="G28" s="18">
        <v>3.17</v>
      </c>
      <c r="H28" s="22">
        <f>SUM(H35*0.11)+H35</f>
        <v>1.379286</v>
      </c>
      <c r="I28" s="22">
        <f>SUM(H35*0.08)+H35</f>
        <v>1.3420079999999999</v>
      </c>
      <c r="J28" s="22">
        <f>SUM(H35*0.08)+H35</f>
        <v>1.3420079999999999</v>
      </c>
      <c r="K28" s="9"/>
    </row>
    <row r="29" spans="2:11" ht="15.75" x14ac:dyDescent="0.25">
      <c r="B29" s="17">
        <v>0.65</v>
      </c>
      <c r="C29" s="22">
        <f>SUM(C35*0.12)+C35</f>
        <v>1.6269567999999999</v>
      </c>
      <c r="D29" s="22">
        <f>SUM(C35*0.09)+C35</f>
        <v>1.5833775999999999</v>
      </c>
      <c r="E29" s="23" t="s">
        <v>2</v>
      </c>
      <c r="F29" s="16"/>
      <c r="G29" s="18" t="s">
        <v>4</v>
      </c>
      <c r="H29" s="22">
        <f>SUM(H35*0.1)+H35</f>
        <v>1.36686</v>
      </c>
      <c r="I29" s="22">
        <f>SUM(H35*0.07+H35)</f>
        <v>1.3295819999999998</v>
      </c>
      <c r="J29" s="22">
        <f>SUM(H35*0.07)+H35</f>
        <v>1.3295819999999998</v>
      </c>
      <c r="K29" s="9"/>
    </row>
    <row r="30" spans="2:11" ht="15.75" x14ac:dyDescent="0.25">
      <c r="B30" s="17">
        <v>24</v>
      </c>
      <c r="C30" s="22">
        <f>SUM(C35*0.16)+C35</f>
        <v>1.6850623999999998</v>
      </c>
      <c r="D30" s="22">
        <f>SUM(C35*0.13)+C35</f>
        <v>1.6414831999999999</v>
      </c>
      <c r="E30" s="23" t="s">
        <v>2</v>
      </c>
      <c r="F30" s="16"/>
      <c r="G30" s="18">
        <v>6.35</v>
      </c>
      <c r="H30" s="22">
        <f>SUM(H35*0.11)+H35</f>
        <v>1.379286</v>
      </c>
      <c r="I30" s="22">
        <f>SUM(H35*0.08)+H35</f>
        <v>1.3420079999999999</v>
      </c>
      <c r="J30" s="22">
        <f>SUM(H35*0.08)+H35</f>
        <v>1.3420079999999999</v>
      </c>
      <c r="K30" s="9"/>
    </row>
    <row r="31" spans="2:11" ht="15.75" x14ac:dyDescent="0.25">
      <c r="B31" s="17">
        <v>26</v>
      </c>
      <c r="C31" s="22">
        <f>SUM(C35*0.2)+C35</f>
        <v>1.7431679999999998</v>
      </c>
      <c r="D31" s="22">
        <f>SUM(C35*0.15)+C35</f>
        <v>1.6705359999999998</v>
      </c>
      <c r="E31" s="23" t="s">
        <v>2</v>
      </c>
      <c r="F31" s="16"/>
      <c r="G31" s="18">
        <v>8</v>
      </c>
      <c r="H31" s="22">
        <f>SUM(H35*0.11)+H35</f>
        <v>1.379286</v>
      </c>
      <c r="I31" s="22">
        <f>SUM(H35*0.08)+H35</f>
        <v>1.3420079999999999</v>
      </c>
      <c r="J31" s="22">
        <f>SUM(H35*0.08)+H35</f>
        <v>1.3420079999999999</v>
      </c>
      <c r="K31" s="9"/>
    </row>
    <row r="32" spans="2:11" ht="15.75" x14ac:dyDescent="0.25">
      <c r="B32" s="17">
        <v>27</v>
      </c>
      <c r="C32" s="22">
        <f>SUM(C35*0.26)+C35</f>
        <v>1.8303263999999999</v>
      </c>
      <c r="D32" s="23" t="s">
        <v>2</v>
      </c>
      <c r="E32" s="23" t="s">
        <v>2</v>
      </c>
      <c r="F32" s="16"/>
      <c r="G32" s="18">
        <v>9.52</v>
      </c>
      <c r="H32" s="22">
        <f>SUM(H35*0.12)+H35</f>
        <v>1.3917119999999998</v>
      </c>
      <c r="I32" s="22">
        <f>SUM(H35*0.09)+H35</f>
        <v>1.3544339999999999</v>
      </c>
      <c r="J32" s="22">
        <f>SUM(H35*0.1)+H35</f>
        <v>1.36686</v>
      </c>
      <c r="K32" s="9"/>
    </row>
    <row r="33" spans="2:11" ht="15.75" x14ac:dyDescent="0.25">
      <c r="B33" s="17">
        <v>30</v>
      </c>
      <c r="C33" s="22">
        <f>SUM(C35*0.32)+C35</f>
        <v>1.9174848</v>
      </c>
      <c r="D33" s="23" t="s">
        <v>2</v>
      </c>
      <c r="E33" s="23" t="s">
        <v>2</v>
      </c>
      <c r="F33" s="16"/>
      <c r="G33" s="18">
        <v>12.7</v>
      </c>
      <c r="H33" s="22">
        <f>SUM(H35*0.12)+H35</f>
        <v>1.3917119999999998</v>
      </c>
      <c r="I33" s="22">
        <f>SUM(H35*0.09)+H35</f>
        <v>1.3544339999999999</v>
      </c>
      <c r="J33" s="22">
        <f>SUM(H35*0.1)+H35</f>
        <v>1.36686</v>
      </c>
      <c r="K33" s="9"/>
    </row>
    <row r="34" spans="2:11" ht="16.5" thickBot="1" x14ac:dyDescent="0.3">
      <c r="B34" s="10"/>
      <c r="C34" s="10"/>
      <c r="D34" s="10"/>
      <c r="E34" s="10"/>
      <c r="F34" s="10"/>
      <c r="G34" s="10"/>
      <c r="H34" s="10"/>
      <c r="I34" s="10"/>
      <c r="J34" s="10"/>
      <c r="K34" s="9"/>
    </row>
    <row r="35" spans="2:11" ht="16.5" thickBot="1" x14ac:dyDescent="0.3">
      <c r="B35" s="14" t="s">
        <v>5</v>
      </c>
      <c r="C35" s="24">
        <f>SUM(INICIO!J21)</f>
        <v>1.4526399999999999</v>
      </c>
      <c r="D35" s="10"/>
      <c r="E35" s="10"/>
      <c r="F35" s="10"/>
      <c r="G35" s="26" t="s">
        <v>5</v>
      </c>
      <c r="H35" s="27">
        <f>SUM(INICIO!P21)</f>
        <v>1.2425999999999999</v>
      </c>
      <c r="I35" s="10" t="s">
        <v>66</v>
      </c>
      <c r="J35" s="10">
        <v>1.4</v>
      </c>
      <c r="K35" s="9"/>
    </row>
    <row r="36" spans="2:11" ht="15.75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9"/>
    </row>
    <row r="37" spans="2:11" ht="15.75" x14ac:dyDescent="0.25">
      <c r="B37" s="17">
        <v>3.17</v>
      </c>
      <c r="C37" s="8">
        <v>1245</v>
      </c>
      <c r="D37" s="23" t="s">
        <v>6</v>
      </c>
      <c r="E37" s="22">
        <f>SUM(I28*0.1)+I28</f>
        <v>1.4762087999999998</v>
      </c>
      <c r="F37" s="10"/>
      <c r="G37" s="10"/>
      <c r="H37" s="19"/>
      <c r="I37" s="10" t="s">
        <v>7</v>
      </c>
      <c r="J37" s="10"/>
      <c r="K37" s="9"/>
    </row>
    <row r="38" spans="2:11" ht="15.75" x14ac:dyDescent="0.25">
      <c r="B38" s="17">
        <v>4.75</v>
      </c>
      <c r="C38" s="8">
        <v>1500</v>
      </c>
      <c r="D38" s="23" t="s">
        <v>6</v>
      </c>
      <c r="E38" s="22">
        <f>SUM(J29*0.1)+J29</f>
        <v>1.4625401999999998</v>
      </c>
      <c r="F38" s="10"/>
      <c r="G38" s="10"/>
      <c r="H38" s="20"/>
      <c r="I38" s="10" t="s">
        <v>8</v>
      </c>
      <c r="J38" s="10"/>
      <c r="K38" s="9"/>
    </row>
    <row r="39" spans="2:11" ht="15.75" x14ac:dyDescent="0.25">
      <c r="B39" s="17">
        <v>6.35</v>
      </c>
      <c r="C39" s="8">
        <v>1500</v>
      </c>
      <c r="D39" s="23" t="s">
        <v>6</v>
      </c>
      <c r="E39" s="22">
        <f>SUM(J30*0.1)+J30</f>
        <v>1.4762087999999998</v>
      </c>
      <c r="F39" s="10"/>
      <c r="G39" s="10"/>
      <c r="H39" s="21"/>
      <c r="I39" s="10" t="s">
        <v>9</v>
      </c>
      <c r="J39" s="10"/>
      <c r="K39" s="9"/>
    </row>
  </sheetData>
  <mergeCells count="3">
    <mergeCell ref="D2:G2"/>
    <mergeCell ref="B4:J4"/>
    <mergeCell ref="B23:J2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40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1" ht="15.75" thickBot="1" x14ac:dyDescent="0.3"/>
    <row r="2" spans="2:11" ht="19.5" thickBot="1" x14ac:dyDescent="0.3">
      <c r="B2" s="11" t="s">
        <v>15</v>
      </c>
      <c r="D2" s="263" t="str">
        <f>PROPER(INICIO!D20)</f>
        <v>Gor Gras/Rase/Calcor/Fabrica De Luz/Forjan/Lagos</v>
      </c>
      <c r="E2" s="264"/>
      <c r="F2" s="264"/>
      <c r="G2" s="265"/>
    </row>
    <row r="3" spans="2:11" ht="15.75" thickBot="1" x14ac:dyDescent="0.3"/>
    <row r="4" spans="2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2:11" ht="15.75" x14ac:dyDescent="0.25">
      <c r="B6" s="17">
        <v>16</v>
      </c>
      <c r="C6" s="40">
        <f>SUM(C16*0.07)+C16</f>
        <v>2349.1676445999997</v>
      </c>
      <c r="D6" s="40">
        <f>SUM(C16*0.04)+C16</f>
        <v>2283.3031311999994</v>
      </c>
      <c r="E6" s="40">
        <f>SUM(C16*0.04)+C16</f>
        <v>2283.3031311999994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2:11" ht="15.75" x14ac:dyDescent="0.25">
      <c r="B7" s="17">
        <v>18</v>
      </c>
      <c r="C7" s="40">
        <f>SUM(C16*0.07)+C16</f>
        <v>2349.1676445999997</v>
      </c>
      <c r="D7" s="40">
        <f>SUM(C16*0.04)+C16</f>
        <v>2283.3031311999994</v>
      </c>
      <c r="E7" s="40">
        <f>SUM(C16*0.04)+C16</f>
        <v>2283.3031311999994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2:11" ht="15.75" x14ac:dyDescent="0.25">
      <c r="B8" s="17" t="s">
        <v>3</v>
      </c>
      <c r="C8" s="40">
        <f>SUM(C16*0.08)+C16</f>
        <v>2371.1224823999996</v>
      </c>
      <c r="D8" s="40">
        <f>SUM(C16*0.05)+C16</f>
        <v>2305.2579689999993</v>
      </c>
      <c r="E8" s="40">
        <f>SUM(C16*0.05)+C16</f>
        <v>2305.2579689999993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2:11" ht="15.75" x14ac:dyDescent="0.25">
      <c r="B9" s="17">
        <v>22</v>
      </c>
      <c r="C9" s="40">
        <f>SUM(C16*0.1)+C16</f>
        <v>2415.0321579999995</v>
      </c>
      <c r="D9" s="40">
        <f>SUM(C16*0.07)+C16</f>
        <v>2349.1676445999997</v>
      </c>
      <c r="E9" s="40">
        <f>SUM(C16*0.07)+C16</f>
        <v>2349.1676445999997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2:11" ht="15.75" x14ac:dyDescent="0.25">
      <c r="B10" s="17">
        <v>0.65</v>
      </c>
      <c r="C10" s="40">
        <f>SUM(C16*0.12)+C16</f>
        <v>2458.9418335999994</v>
      </c>
      <c r="D10" s="40">
        <f>SUM(C16*0.09)+C16</f>
        <v>2393.0773201999996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2:11" ht="15.75" x14ac:dyDescent="0.25">
      <c r="B11" s="17">
        <v>24</v>
      </c>
      <c r="C11" s="40">
        <f>SUM(C16*0.16)+C16</f>
        <v>2546.7611847999997</v>
      </c>
      <c r="D11" s="40">
        <f>SUM(C16*0.13)+C16</f>
        <v>2480.8966713999994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2:11" ht="15.75" x14ac:dyDescent="0.25">
      <c r="B12" s="17">
        <v>26</v>
      </c>
      <c r="C12" s="40">
        <f>SUM(C16*0.2)+C16</f>
        <v>2634.5805359999995</v>
      </c>
      <c r="D12" s="40">
        <f>SUM(C16*0.15)+C16</f>
        <v>2524.8063469999997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2:11" ht="15.75" x14ac:dyDescent="0.25">
      <c r="B13" s="17">
        <v>27</v>
      </c>
      <c r="C13" s="40">
        <f>SUM(C16*0.26)+C16</f>
        <v>2766.3095627999996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SUM(H16*0.09)+H16</f>
        <v>2028.9421319999997</v>
      </c>
      <c r="K13" s="9"/>
    </row>
    <row r="14" spans="2:11" ht="15.75" x14ac:dyDescent="0.25">
      <c r="B14" s="17">
        <v>30</v>
      </c>
      <c r="C14" s="40">
        <f>SUM(C16*0.32)+C16</f>
        <v>2898.0385895999993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SUM(H16*0.09)+H16</f>
        <v>2028.9421319999997</v>
      </c>
      <c r="K14" s="9"/>
    </row>
    <row r="15" spans="2:11" ht="16.5" thickBo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2:11" ht="16.5" thickBot="1" x14ac:dyDescent="0.3">
      <c r="B16" s="14" t="s">
        <v>5</v>
      </c>
      <c r="C16" s="41">
        <f>SUM(INICIO!K20)</f>
        <v>2195.4837799999996</v>
      </c>
      <c r="D16" s="10"/>
      <c r="E16" s="10"/>
      <c r="F16" s="10"/>
      <c r="G16" s="26" t="s">
        <v>5</v>
      </c>
      <c r="H16" s="42">
        <f>SUM(INICIO!Q20)</f>
        <v>1861.4147999999998</v>
      </c>
      <c r="I16" s="10"/>
      <c r="J16" s="185">
        <v>-0.1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2:11" ht="15.75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8" x14ac:dyDescent="0.25">
      <c r="B22" s="2"/>
    </row>
    <row r="23" spans="2:11" ht="15.75" thickBot="1" x14ac:dyDescent="0.3"/>
    <row r="24" spans="2:11" ht="19.5" thickBot="1" x14ac:dyDescent="0.35">
      <c r="B24" s="269" t="s">
        <v>31</v>
      </c>
      <c r="C24" s="270"/>
      <c r="D24" s="270"/>
      <c r="E24" s="270"/>
      <c r="F24" s="270"/>
      <c r="G24" s="270"/>
      <c r="H24" s="270"/>
      <c r="I24" s="270"/>
      <c r="J24" s="271"/>
    </row>
    <row r="25" spans="2:11" ht="15.75" x14ac:dyDescent="0.25">
      <c r="B25" s="14" t="s">
        <v>0</v>
      </c>
      <c r="C25" s="15">
        <v>1000</v>
      </c>
      <c r="D25" s="15">
        <v>1220</v>
      </c>
      <c r="E25" s="15">
        <v>1500</v>
      </c>
      <c r="F25" s="16"/>
      <c r="G25" s="25" t="s">
        <v>1</v>
      </c>
      <c r="H25" s="8">
        <v>1000</v>
      </c>
      <c r="I25" s="8">
        <v>1245</v>
      </c>
      <c r="J25" s="8">
        <v>1500</v>
      </c>
      <c r="K25" s="9"/>
    </row>
    <row r="26" spans="2:11" ht="15.75" x14ac:dyDescent="0.25">
      <c r="B26" s="17">
        <v>16</v>
      </c>
      <c r="C26" s="22">
        <f>SUM(C36*0.07)+C36</f>
        <v>1.5682026999999998</v>
      </c>
      <c r="D26" s="22">
        <f>SUM(C36*0.04)+C36</f>
        <v>1.5242343999999999</v>
      </c>
      <c r="E26" s="22">
        <f>SUM(C36*0.04)+C36</f>
        <v>1.5242343999999999</v>
      </c>
      <c r="F26" s="16"/>
      <c r="G26" s="18">
        <v>1.6</v>
      </c>
      <c r="H26" s="22" t="s">
        <v>2</v>
      </c>
      <c r="I26" s="23" t="s">
        <v>2</v>
      </c>
      <c r="J26" s="23" t="s">
        <v>2</v>
      </c>
      <c r="K26" s="9"/>
    </row>
    <row r="27" spans="2:11" ht="15.75" x14ac:dyDescent="0.25">
      <c r="B27" s="17">
        <v>18</v>
      </c>
      <c r="C27" s="22">
        <f>SUM(C36*0.07)+C36</f>
        <v>1.5682026999999998</v>
      </c>
      <c r="D27" s="22">
        <f>SUM(C36*0.04)+C36</f>
        <v>1.5242343999999999</v>
      </c>
      <c r="E27" s="22">
        <f>SUM(C36*0.04)+C36</f>
        <v>1.5242343999999999</v>
      </c>
      <c r="F27" s="16"/>
      <c r="G27" s="18">
        <v>2</v>
      </c>
      <c r="H27" s="22">
        <f>SUM(H36*0.14)+H36</f>
        <v>1.4165639999999999</v>
      </c>
      <c r="I27" s="22">
        <f>SUM(H36*0.11)+H36</f>
        <v>1.379286</v>
      </c>
      <c r="J27" s="23" t="s">
        <v>2</v>
      </c>
      <c r="K27" s="9"/>
    </row>
    <row r="28" spans="2:11" ht="15.75" x14ac:dyDescent="0.25">
      <c r="B28" s="17" t="s">
        <v>3</v>
      </c>
      <c r="C28" s="22">
        <f>SUM(C36*0.08)+C36</f>
        <v>1.5828587999999999</v>
      </c>
      <c r="D28" s="22">
        <f>SUM(C36*0.05)+C36</f>
        <v>1.5388904999999999</v>
      </c>
      <c r="E28" s="22">
        <f>SUM(C36*0.05)+C36</f>
        <v>1.5388904999999999</v>
      </c>
      <c r="F28" s="16"/>
      <c r="G28" s="18">
        <v>2.5</v>
      </c>
      <c r="H28" s="22">
        <f>SUM(H36*0.12)+H36</f>
        <v>1.3917119999999998</v>
      </c>
      <c r="I28" s="22">
        <f>SUM(H36*0.09)+H36</f>
        <v>1.3544339999999999</v>
      </c>
      <c r="J28" s="23" t="s">
        <v>2</v>
      </c>
      <c r="K28" s="9"/>
    </row>
    <row r="29" spans="2:11" ht="15.75" x14ac:dyDescent="0.25">
      <c r="B29" s="17">
        <v>22</v>
      </c>
      <c r="C29" s="22">
        <f>SUM(C36*0.1)+C36</f>
        <v>1.6121709999999998</v>
      </c>
      <c r="D29" s="22">
        <f>SUM(C36*0.07)+C36</f>
        <v>1.5682026999999998</v>
      </c>
      <c r="E29" s="22">
        <f>SUM(C36*0.07)+C36</f>
        <v>1.5682026999999998</v>
      </c>
      <c r="F29" s="16"/>
      <c r="G29" s="18">
        <v>3.17</v>
      </c>
      <c r="H29" s="22">
        <f>SUM(H36*0.11)+H36</f>
        <v>1.379286</v>
      </c>
      <c r="I29" s="22">
        <f>SUM(H36*0.08)+H36</f>
        <v>1.3420079999999999</v>
      </c>
      <c r="J29" s="22">
        <f>SUM(H36*0.08)+H36</f>
        <v>1.3420079999999999</v>
      </c>
      <c r="K29" s="9"/>
    </row>
    <row r="30" spans="2:11" ht="15.75" x14ac:dyDescent="0.25">
      <c r="B30" s="17">
        <v>0.65</v>
      </c>
      <c r="C30" s="22">
        <f>SUM(C36*0.12)+C36</f>
        <v>1.6414831999999999</v>
      </c>
      <c r="D30" s="22">
        <f>SUM(C36*0.09)+C36</f>
        <v>1.5975148999999997</v>
      </c>
      <c r="E30" s="23" t="s">
        <v>2</v>
      </c>
      <c r="F30" s="16"/>
      <c r="G30" s="18" t="s">
        <v>4</v>
      </c>
      <c r="H30" s="22">
        <f>SUM(H36*0.1)+H36</f>
        <v>1.36686</v>
      </c>
      <c r="I30" s="22">
        <f>SUM(H36*0.07+H36)</f>
        <v>1.3295819999999998</v>
      </c>
      <c r="J30" s="22">
        <f>SUM(H36*0.07)+H36</f>
        <v>1.3295819999999998</v>
      </c>
      <c r="K30" s="9"/>
    </row>
    <row r="31" spans="2:11" ht="15.75" x14ac:dyDescent="0.25">
      <c r="B31" s="17">
        <v>24</v>
      </c>
      <c r="C31" s="22">
        <f>SUM(C36*0.16)+C36</f>
        <v>1.7001075999999999</v>
      </c>
      <c r="D31" s="22">
        <f>SUM(C36*0.13)+C36</f>
        <v>1.6561392999999998</v>
      </c>
      <c r="E31" s="23" t="s">
        <v>2</v>
      </c>
      <c r="F31" s="16"/>
      <c r="G31" s="18">
        <v>6.35</v>
      </c>
      <c r="H31" s="22">
        <f>SUM(H36*0.11)+H36</f>
        <v>1.379286</v>
      </c>
      <c r="I31" s="22">
        <f>SUM(H36*0.08)+H36</f>
        <v>1.3420079999999999</v>
      </c>
      <c r="J31" s="22">
        <f>SUM(H36*0.08)+H36</f>
        <v>1.3420079999999999</v>
      </c>
      <c r="K31" s="9"/>
    </row>
    <row r="32" spans="2:11" ht="15.75" x14ac:dyDescent="0.25">
      <c r="B32" s="17">
        <v>26</v>
      </c>
      <c r="C32" s="22">
        <f>SUM(C36*0.2)+C36</f>
        <v>1.7587319999999997</v>
      </c>
      <c r="D32" s="22">
        <f>SUM(C36*0.15)+C36</f>
        <v>1.6854514999999999</v>
      </c>
      <c r="E32" s="23" t="s">
        <v>2</v>
      </c>
      <c r="F32" s="16"/>
      <c r="G32" s="18">
        <v>8</v>
      </c>
      <c r="H32" s="22">
        <f>SUM(H36*0.11)+H36</f>
        <v>1.379286</v>
      </c>
      <c r="I32" s="22">
        <f>SUM(H36*0.08)+H36</f>
        <v>1.3420079999999999</v>
      </c>
      <c r="J32" s="22">
        <f>SUM(H36*0.08)+H36</f>
        <v>1.3420079999999999</v>
      </c>
      <c r="K32" s="9"/>
    </row>
    <row r="33" spans="2:11" ht="15.75" x14ac:dyDescent="0.25">
      <c r="B33" s="17">
        <v>27</v>
      </c>
      <c r="C33" s="22">
        <f>SUM(C36*0.26)+C36</f>
        <v>1.8466685999999999</v>
      </c>
      <c r="D33" s="23" t="s">
        <v>2</v>
      </c>
      <c r="E33" s="23" t="s">
        <v>2</v>
      </c>
      <c r="F33" s="16"/>
      <c r="G33" s="18">
        <v>9.52</v>
      </c>
      <c r="H33" s="22">
        <f>SUM(H36*0.12)+H36</f>
        <v>1.3917119999999998</v>
      </c>
      <c r="I33" s="22">
        <f>SUM(H36*0.09)+H36</f>
        <v>1.3544339999999999</v>
      </c>
      <c r="J33" s="22">
        <f>SUM(H36*0.09)+H36</f>
        <v>1.3544339999999999</v>
      </c>
      <c r="K33" s="9"/>
    </row>
    <row r="34" spans="2:11" ht="15.75" x14ac:dyDescent="0.25">
      <c r="B34" s="17">
        <v>30</v>
      </c>
      <c r="C34" s="22">
        <f>SUM(C36*0.32)+C36</f>
        <v>1.9346051999999998</v>
      </c>
      <c r="D34" s="23" t="s">
        <v>2</v>
      </c>
      <c r="E34" s="23" t="s">
        <v>2</v>
      </c>
      <c r="F34" s="16"/>
      <c r="G34" s="18">
        <v>12.7</v>
      </c>
      <c r="H34" s="22">
        <f>SUM(H36*0.12)+H36</f>
        <v>1.3917119999999998</v>
      </c>
      <c r="I34" s="22">
        <f>SUM(H36*0.09)+H36</f>
        <v>1.3544339999999999</v>
      </c>
      <c r="J34" s="22">
        <f>SUM(H36*0.09)+H36</f>
        <v>1.3544339999999999</v>
      </c>
      <c r="K34" s="9"/>
    </row>
    <row r="35" spans="2:11" ht="16.5" thickBot="1" x14ac:dyDescent="0.3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6.5" thickBot="1" x14ac:dyDescent="0.3">
      <c r="B36" s="14" t="s">
        <v>5</v>
      </c>
      <c r="C36" s="24">
        <f>SUM(INICIO!J20)</f>
        <v>1.4656099999999999</v>
      </c>
      <c r="D36" s="10"/>
      <c r="E36" s="10"/>
      <c r="F36" s="10"/>
      <c r="G36" s="26" t="s">
        <v>5</v>
      </c>
      <c r="H36" s="27">
        <f>SUM(INICIO!P20)</f>
        <v>1.2425999999999999</v>
      </c>
      <c r="I36" s="10"/>
      <c r="J36" s="10"/>
      <c r="K36" s="9"/>
    </row>
    <row r="37" spans="2:11" ht="15.75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9"/>
    </row>
    <row r="38" spans="2:11" ht="15.75" x14ac:dyDescent="0.25">
      <c r="B38" s="17">
        <v>3.17</v>
      </c>
      <c r="C38" s="8">
        <v>1245</v>
      </c>
      <c r="D38" s="23" t="s">
        <v>6</v>
      </c>
      <c r="E38" s="22">
        <f>SUM(I29*0.1)+I29</f>
        <v>1.4762087999999998</v>
      </c>
      <c r="F38" s="10"/>
      <c r="G38" s="10"/>
      <c r="H38" s="19"/>
      <c r="I38" s="10" t="s">
        <v>7</v>
      </c>
      <c r="J38" s="10"/>
      <c r="K38" s="9"/>
    </row>
    <row r="39" spans="2:11" ht="15.75" x14ac:dyDescent="0.25">
      <c r="B39" s="17">
        <v>4.75</v>
      </c>
      <c r="C39" s="8">
        <v>1500</v>
      </c>
      <c r="D39" s="23" t="s">
        <v>6</v>
      </c>
      <c r="E39" s="22">
        <f>SUM(J30*0.1)+J30</f>
        <v>1.4625401999999998</v>
      </c>
      <c r="F39" s="10"/>
      <c r="G39" s="10"/>
      <c r="H39" s="20"/>
      <c r="I39" s="10" t="s">
        <v>8</v>
      </c>
      <c r="J39" s="10"/>
      <c r="K39" s="9"/>
    </row>
    <row r="40" spans="2:11" ht="15.75" x14ac:dyDescent="0.25">
      <c r="B40" s="17">
        <v>6.35</v>
      </c>
      <c r="C40" s="8">
        <v>1500</v>
      </c>
      <c r="D40" s="23" t="s">
        <v>6</v>
      </c>
      <c r="E40" s="22">
        <f>SUM(J31*0.1)+J31</f>
        <v>1.4762087999999998</v>
      </c>
      <c r="F40" s="10"/>
      <c r="G40" s="10"/>
      <c r="H40" s="21"/>
      <c r="I40" s="10" t="s">
        <v>9</v>
      </c>
      <c r="J40" s="10"/>
      <c r="K40" s="9"/>
    </row>
  </sheetData>
  <mergeCells count="3">
    <mergeCell ref="D2:G2"/>
    <mergeCell ref="B4:J4"/>
    <mergeCell ref="B24:J2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8"/>
  <sheetViews>
    <sheetView showGridLines="0" topLeftCell="A4" workbookViewId="0"/>
  </sheetViews>
  <sheetFormatPr baseColWidth="10" defaultColWidth="11.42578125" defaultRowHeight="15" x14ac:dyDescent="0.25"/>
  <cols>
    <col min="1" max="16384" width="11.42578125" style="1"/>
  </cols>
  <sheetData>
    <row r="1" spans="1:11" ht="15.75" thickBot="1" x14ac:dyDescent="0.3">
      <c r="A1" s="70"/>
    </row>
    <row r="2" spans="1:11" ht="19.5" thickBot="1" x14ac:dyDescent="0.3">
      <c r="B2" s="11" t="s">
        <v>15</v>
      </c>
      <c r="D2" s="263" t="str">
        <f>PROPER(INICIO!D22)</f>
        <v>Int Pomp/Gustavo Carrocero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9"/>
    </row>
    <row r="11" spans="1:11" ht="15.75" x14ac:dyDescent="0.25"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9"/>
    </row>
    <row r="14" spans="1:11" ht="15.75" x14ac:dyDescent="0.25"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9"/>
    </row>
    <row r="15" spans="1:11" ht="16.5" thickBot="1" x14ac:dyDescent="0.3">
      <c r="B15" s="10"/>
      <c r="C15" s="10"/>
      <c r="D15" s="10"/>
      <c r="E15" s="10"/>
      <c r="F15" s="10"/>
      <c r="G15" s="10"/>
      <c r="H15" s="10"/>
      <c r="I15" s="10"/>
      <c r="J15" s="10"/>
      <c r="K15" s="9"/>
    </row>
    <row r="16" spans="1:11" ht="16.5" thickBot="1" x14ac:dyDescent="0.3">
      <c r="B16" s="14" t="s">
        <v>5</v>
      </c>
      <c r="C16" s="41">
        <f>SUM(INICIO!K22)</f>
        <v>2176.0547200000001</v>
      </c>
      <c r="D16" s="10"/>
      <c r="E16" s="10"/>
      <c r="F16" s="10"/>
      <c r="G16" s="26" t="s">
        <v>5</v>
      </c>
      <c r="H16" s="42">
        <f>SUM(INICIO!Q22)</f>
        <v>1844.3375999999998</v>
      </c>
      <c r="I16" s="58" t="s">
        <v>87</v>
      </c>
      <c r="J16" s="58" t="s">
        <v>52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2:11" ht="15.75" x14ac:dyDescent="0.25">
      <c r="B18" s="17">
        <v>3.17</v>
      </c>
      <c r="C18" s="8">
        <v>1245</v>
      </c>
      <c r="D18" s="40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40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40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2:1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2:1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2:1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2:1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2:1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SUM(INICIO!J22)</f>
        <v>1.4526399999999999</v>
      </c>
      <c r="D34" s="10"/>
      <c r="E34" s="10"/>
      <c r="F34" s="10"/>
      <c r="G34" s="26" t="s">
        <v>5</v>
      </c>
      <c r="H34" s="27">
        <f>SUM(INICIO!P22)</f>
        <v>1.2311999999999999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1:11" ht="15.75" thickBot="1" x14ac:dyDescent="0.3">
      <c r="A1" s="1" t="s">
        <v>52</v>
      </c>
    </row>
    <row r="2" spans="1:11" ht="19.5" thickBot="1" x14ac:dyDescent="0.3">
      <c r="B2" s="11" t="s">
        <v>15</v>
      </c>
      <c r="D2" s="263" t="str">
        <f>PROPER(INICIO!D23)</f>
        <v>Di Lorenzo/Alico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44"/>
    </row>
    <row r="8" spans="1:11" ht="15.75" x14ac:dyDescent="0.25"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44"/>
    </row>
    <row r="9" spans="1:11" ht="15.75" x14ac:dyDescent="0.25"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44"/>
    </row>
    <row r="10" spans="1:11" ht="15.75" x14ac:dyDescent="0.25"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44"/>
    </row>
    <row r="11" spans="1:11" ht="15.75" x14ac:dyDescent="0.25"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44"/>
    </row>
    <row r="12" spans="1:11" ht="15.75" x14ac:dyDescent="0.25"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44"/>
    </row>
    <row r="13" spans="1:11" ht="15.75" x14ac:dyDescent="0.25"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44"/>
    </row>
    <row r="14" spans="1:11" ht="15.75" x14ac:dyDescent="0.25"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44"/>
    </row>
    <row r="15" spans="1:11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B16" s="14" t="s">
        <v>5</v>
      </c>
      <c r="C16" s="41">
        <f>SUM(INICIO!K23)</f>
        <v>2176.0547200000001</v>
      </c>
      <c r="D16" s="43"/>
      <c r="E16" s="43"/>
      <c r="F16" s="10"/>
      <c r="G16" s="26" t="s">
        <v>5</v>
      </c>
      <c r="H16" s="42">
        <f>SUM(INICIO!Q23)</f>
        <v>1861.4147999999998</v>
      </c>
      <c r="I16" s="43"/>
      <c r="J16" s="43"/>
      <c r="K16" s="44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2:1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2:1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2:1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2:1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2:1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SUM(INICIO!J23)</f>
        <v>1.4526399999999999</v>
      </c>
      <c r="D34" s="10"/>
      <c r="E34" s="10"/>
      <c r="F34" s="10"/>
      <c r="G34" s="26" t="s">
        <v>5</v>
      </c>
      <c r="H34" s="27">
        <f>SUM(INICIO!P23)</f>
        <v>1.2425999999999999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1" ht="15.75" thickBot="1" x14ac:dyDescent="0.3"/>
    <row r="2" spans="2:11" ht="19.5" thickBot="1" x14ac:dyDescent="0.3">
      <c r="B2" s="11" t="s">
        <v>15</v>
      </c>
      <c r="D2" s="263" t="str">
        <f>PROPER(INICIO!D24)</f>
        <v>Buromaik/Calterm</v>
      </c>
      <c r="E2" s="264"/>
      <c r="F2" s="264"/>
      <c r="G2" s="265"/>
    </row>
    <row r="3" spans="2:11" ht="15.75" thickBot="1" x14ac:dyDescent="0.3"/>
    <row r="4" spans="2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2:11" ht="15.75" x14ac:dyDescent="0.25">
      <c r="B6" s="17">
        <v>16</v>
      </c>
      <c r="C6" s="40">
        <f>SUM(C16*0.07)+C16</f>
        <v>2224.4330793999998</v>
      </c>
      <c r="D6" s="40">
        <f>SUM(C16*0.04)+C16</f>
        <v>2162.0657968</v>
      </c>
      <c r="E6" s="40">
        <f>SUM(C16*0.04)+C16</f>
        <v>2162.0657968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2:11" ht="15.75" x14ac:dyDescent="0.25">
      <c r="B7" s="17">
        <v>18</v>
      </c>
      <c r="C7" s="40">
        <f>SUM(C16*0.07)+C16</f>
        <v>2224.4330793999998</v>
      </c>
      <c r="D7" s="40">
        <f>SUM(C16*0.04)+C16</f>
        <v>2162.0657968</v>
      </c>
      <c r="E7" s="40">
        <f>SUM(C16*0.04)+C16</f>
        <v>2162.0657968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2:11" ht="15.75" x14ac:dyDescent="0.25">
      <c r="B8" s="17" t="s">
        <v>3</v>
      </c>
      <c r="C8" s="40">
        <f>SUM(C16*0.08)+C16</f>
        <v>2245.2221736000001</v>
      </c>
      <c r="D8" s="40">
        <f>SUM(C16*0.05)+C16</f>
        <v>2182.854891</v>
      </c>
      <c r="E8" s="40">
        <f>SUM(C16*0.05)+C16</f>
        <v>2182.854891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2:11" ht="15.75" x14ac:dyDescent="0.25">
      <c r="B9" s="17">
        <v>22</v>
      </c>
      <c r="C9" s="40">
        <f>SUM(C16*0.1)+C16</f>
        <v>2286.800362</v>
      </c>
      <c r="D9" s="40">
        <f>SUM(C16*0.07)+C16</f>
        <v>2224.4330793999998</v>
      </c>
      <c r="E9" s="40">
        <f>SUM(C16*0.07)+C16</f>
        <v>2224.4330793999998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2:11" ht="15.75" x14ac:dyDescent="0.25">
      <c r="B10" s="17">
        <v>0.65</v>
      </c>
      <c r="C10" s="40">
        <f>SUM(C16*0.12)+C16</f>
        <v>2328.3785503999998</v>
      </c>
      <c r="D10" s="40">
        <f>SUM(C16*0.09)+C16</f>
        <v>2266.0112678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2:11" ht="15.75" x14ac:dyDescent="0.25">
      <c r="B11" s="17">
        <v>24</v>
      </c>
      <c r="C11" s="40">
        <f>SUM(C16*0.16)+C16</f>
        <v>2411.5349271999999</v>
      </c>
      <c r="D11" s="40">
        <f>SUM(C16*0.13)+C16</f>
        <v>2349.1676446000001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2:11" ht="15.75" x14ac:dyDescent="0.25">
      <c r="B12" s="17">
        <v>26</v>
      </c>
      <c r="C12" s="40">
        <f>SUM(C16*0.2)+C16</f>
        <v>2494.6913039999999</v>
      </c>
      <c r="D12" s="40">
        <f>SUM(C16*0.15)+C16</f>
        <v>2390.7458329999999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2:11" ht="15.75" x14ac:dyDescent="0.25">
      <c r="B13" s="17">
        <v>27</v>
      </c>
      <c r="C13" s="40">
        <f>SUM(C16*0.26)+C16</f>
        <v>2619.4258691999999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2:11" ht="15.75" x14ac:dyDescent="0.25">
      <c r="B14" s="17">
        <v>30</v>
      </c>
      <c r="C14" s="40">
        <f>SUM(C16*0.32)+C16</f>
        <v>2744.1604343999998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2:11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2:11" ht="16.5" thickBot="1" x14ac:dyDescent="0.3">
      <c r="B16" s="14" t="s">
        <v>5</v>
      </c>
      <c r="C16" s="41">
        <f>SUM(INICIO!K24)</f>
        <v>2078.90942</v>
      </c>
      <c r="D16" s="43"/>
      <c r="E16" s="43"/>
      <c r="F16" s="10"/>
      <c r="G16" s="26" t="s">
        <v>5</v>
      </c>
      <c r="H16" s="42">
        <f>SUM(INICIO!Q24)</f>
        <v>1793.1059999999998</v>
      </c>
      <c r="I16" s="43"/>
      <c r="J16" s="43"/>
      <c r="K16" s="9"/>
    </row>
    <row r="17" spans="2:11" ht="15.75" x14ac:dyDescent="0.25">
      <c r="B17" s="10"/>
      <c r="C17" s="43"/>
      <c r="D17" s="43"/>
      <c r="E17" s="43"/>
      <c r="F17" s="10"/>
      <c r="G17" s="10"/>
      <c r="H17" s="10"/>
      <c r="I17" s="10"/>
      <c r="J17" s="10" t="s">
        <v>342</v>
      </c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1.4849352999999998</v>
      </c>
      <c r="D24" s="22">
        <f>SUM(C34*0.04)+C34</f>
        <v>1.4433015999999999</v>
      </c>
      <c r="E24" s="22">
        <f>SUM(C34*0.04)+C34</f>
        <v>1.4433015999999999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1.4849352999999998</v>
      </c>
      <c r="D25" s="22">
        <f>SUM(C34*0.04)+C34</f>
        <v>1.4433015999999999</v>
      </c>
      <c r="E25" s="22">
        <f>SUM(C34*0.04)+C34</f>
        <v>1.4433015999999999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1.4988131999999998</v>
      </c>
      <c r="D26" s="22">
        <f>SUM(C34*0.05)+C34</f>
        <v>1.4571794999999998</v>
      </c>
      <c r="E26" s="22">
        <f>SUM(C34*0.05)+C34</f>
        <v>1.4571794999999998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1.5265689999999998</v>
      </c>
      <c r="D27" s="22">
        <f>SUM(C34*0.07)+C34</f>
        <v>1.4849352999999998</v>
      </c>
      <c r="E27" s="22">
        <f>SUM(C34*0.07)+C34</f>
        <v>1.4849352999999998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2:11" ht="15.75" x14ac:dyDescent="0.25">
      <c r="B28" s="17">
        <v>0.65</v>
      </c>
      <c r="C28" s="22">
        <f>SUM(C34*0.12)+C34</f>
        <v>1.5543247999999998</v>
      </c>
      <c r="D28" s="22">
        <f>SUM(C34*0.09)+C34</f>
        <v>1.5126910999999998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2:11" ht="15.75" x14ac:dyDescent="0.25">
      <c r="B29" s="17">
        <v>24</v>
      </c>
      <c r="C29" s="22">
        <f>SUM(C34*0.16)+C34</f>
        <v>1.6098363999999998</v>
      </c>
      <c r="D29" s="22">
        <f>SUM(C34*0.13)+C34</f>
        <v>1.5682026999999998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2:11" ht="15.75" x14ac:dyDescent="0.25">
      <c r="B30" s="17">
        <v>26</v>
      </c>
      <c r="C30" s="22">
        <f>SUM(C34*0.2)+C34</f>
        <v>1.6653479999999998</v>
      </c>
      <c r="D30" s="22">
        <f>SUM(C34*0.15)+C34</f>
        <v>1.5959584999999998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2:11" ht="15.75" x14ac:dyDescent="0.25">
      <c r="B31" s="17">
        <v>27</v>
      </c>
      <c r="C31" s="22">
        <f>SUM(C34*0.26)+C34</f>
        <v>1.7486153999999998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2:11" ht="15.75" x14ac:dyDescent="0.25">
      <c r="B32" s="17">
        <v>30</v>
      </c>
      <c r="C32" s="22">
        <f>SUM(C34*0.32)+C34</f>
        <v>1.8318827999999998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SUM(INICIO!J24)</f>
        <v>1.3877899999999999</v>
      </c>
      <c r="D34" s="10"/>
      <c r="E34" s="10"/>
      <c r="F34" s="10"/>
      <c r="G34" s="26" t="s">
        <v>5</v>
      </c>
      <c r="H34" s="27">
        <f>SUM(INICIO!P24)</f>
        <v>1.1969999999999998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1:11" ht="15.75" thickBot="1" x14ac:dyDescent="0.3">
      <c r="A1" s="1" t="s">
        <v>52</v>
      </c>
    </row>
    <row r="2" spans="1:11" ht="19.5" thickBot="1" x14ac:dyDescent="0.3">
      <c r="B2" s="11" t="s">
        <v>15</v>
      </c>
      <c r="D2" s="263" t="str">
        <f>PROPER(INICIO!D25)</f>
        <v>Morelli/Campana/Proyectos/Accetub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1966.268808</v>
      </c>
      <c r="I7" s="40">
        <f>SUM(H16*0.11)+H16</f>
        <v>1914.5248919999999</v>
      </c>
      <c r="J7" s="40" t="s">
        <v>2</v>
      </c>
      <c r="K7" s="9"/>
    </row>
    <row r="8" spans="1:11" ht="15.75" x14ac:dyDescent="0.25"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1931.772864</v>
      </c>
      <c r="I8" s="40">
        <f>SUM(H16*0.09)+H16</f>
        <v>1880.0289479999999</v>
      </c>
      <c r="J8" s="40" t="s">
        <v>2</v>
      </c>
      <c r="K8" s="9"/>
    </row>
    <row r="9" spans="1:11" ht="15.75" x14ac:dyDescent="0.25"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 t="s">
        <v>2</v>
      </c>
      <c r="F9" s="16"/>
      <c r="G9" s="18">
        <v>3.17</v>
      </c>
      <c r="H9" s="40">
        <f>SUM(H16*0.11)+H16</f>
        <v>1914.5248919999999</v>
      </c>
      <c r="I9" s="40">
        <f>SUM(H16*0.08)+H16</f>
        <v>1862.780976</v>
      </c>
      <c r="J9" s="40">
        <f>SUM(H16*0.08)+H16</f>
        <v>1862.780976</v>
      </c>
      <c r="K9" s="9"/>
    </row>
    <row r="10" spans="1:11" ht="15.75" x14ac:dyDescent="0.25"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1897.27692</v>
      </c>
      <c r="I10" s="40">
        <f>SUM(H16*0.07+H16)</f>
        <v>1845.5330039999999</v>
      </c>
      <c r="J10" s="40">
        <f>SUM(H16*0.07)+H16</f>
        <v>1845.5330039999999</v>
      </c>
      <c r="K10" s="9"/>
    </row>
    <row r="11" spans="1:11" ht="15.75" x14ac:dyDescent="0.25"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1914.5248919999999</v>
      </c>
      <c r="I11" s="40">
        <f>SUM(H16*0.08)+H16</f>
        <v>1862.780976</v>
      </c>
      <c r="J11" s="40">
        <f>SUM(H16*0.08)+H16</f>
        <v>1862.780976</v>
      </c>
      <c r="K11" s="9"/>
    </row>
    <row r="12" spans="1:11" ht="15.75" x14ac:dyDescent="0.25"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1914.5248919999999</v>
      </c>
      <c r="I12" s="40">
        <f>SUM(H16*0.08)+H16</f>
        <v>1862.780976</v>
      </c>
      <c r="J12" s="40">
        <f>SUM(H16*0.08)+H16</f>
        <v>1862.780976</v>
      </c>
      <c r="K12" s="9"/>
    </row>
    <row r="13" spans="1:11" ht="15.75" x14ac:dyDescent="0.25"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1931.772864</v>
      </c>
      <c r="I13" s="40">
        <f>SUM(H16*0.09)+H16</f>
        <v>1880.0289479999999</v>
      </c>
      <c r="J13" s="40">
        <f>SUM(H16*0.1)+H16</f>
        <v>1897.27692</v>
      </c>
      <c r="K13" s="9"/>
    </row>
    <row r="14" spans="1:11" ht="15.75" x14ac:dyDescent="0.25"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1931.772864</v>
      </c>
      <c r="I14" s="40">
        <f>SUM(H16*0.09)+H16</f>
        <v>1880.0289479999999</v>
      </c>
      <c r="J14" s="40">
        <f>SUM(H16*0.1)+H16</f>
        <v>1897.27692</v>
      </c>
      <c r="K14" s="9"/>
    </row>
    <row r="15" spans="1:11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B16" s="14" t="s">
        <v>5</v>
      </c>
      <c r="C16" s="41">
        <f>SUM(INICIO!K25)</f>
        <v>2059.48036</v>
      </c>
      <c r="D16" s="43"/>
      <c r="E16" s="43"/>
      <c r="F16" s="10"/>
      <c r="G16" s="26" t="s">
        <v>5</v>
      </c>
      <c r="H16" s="42">
        <f>SUM(INICIO!Q25)</f>
        <v>1724.7972</v>
      </c>
      <c r="I16" s="43" t="s">
        <v>52</v>
      </c>
      <c r="J16" s="43" t="s">
        <v>262</v>
      </c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 t="s">
        <v>294</v>
      </c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2049.0590735999999</v>
      </c>
      <c r="F18" s="10"/>
      <c r="G18" s="10"/>
      <c r="H18" s="19"/>
      <c r="I18" s="10" t="s">
        <v>7</v>
      </c>
      <c r="J18" s="10" t="s">
        <v>312</v>
      </c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2030.0863043999998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2049.0590735999999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1.3125960000000001</v>
      </c>
      <c r="I25" s="22">
        <f>SUM(H34*0.11)+H34</f>
        <v>1.278054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1.289568</v>
      </c>
      <c r="I26" s="22">
        <f>SUM(H34*0.09)+H34</f>
        <v>1.255026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1.278054</v>
      </c>
      <c r="I27" s="22">
        <f>SUM(H34*0.08)+H34</f>
        <v>1.243512</v>
      </c>
      <c r="J27" s="22">
        <f>SUM(H34*0.08)+H34</f>
        <v>1.243512</v>
      </c>
      <c r="K27" s="9"/>
    </row>
    <row r="28" spans="2:1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1.26654</v>
      </c>
      <c r="I28" s="22">
        <f>SUM(H34*0.07+H34)</f>
        <v>1.2319979999999999</v>
      </c>
      <c r="J28" s="22">
        <f>SUM(H34*0.07)+H34</f>
        <v>1.2319979999999999</v>
      </c>
      <c r="K28" s="9"/>
    </row>
    <row r="29" spans="2:1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1.278054</v>
      </c>
      <c r="I29" s="22">
        <f>SUM(H34*0.08)+H34</f>
        <v>1.243512</v>
      </c>
      <c r="J29" s="22">
        <f>SUM(H34*0.08)+H34</f>
        <v>1.243512</v>
      </c>
      <c r="K29" s="9"/>
    </row>
    <row r="30" spans="2:1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1.278054</v>
      </c>
      <c r="I30" s="22">
        <f>SUM(H34*0.08)+H34</f>
        <v>1.243512</v>
      </c>
      <c r="J30" s="22">
        <f>SUM(H34*0.08)+H34</f>
        <v>1.243512</v>
      </c>
      <c r="K30" s="9"/>
    </row>
    <row r="31" spans="2:1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1.289568</v>
      </c>
      <c r="I31" s="22">
        <f>SUM(H34*0.09)+H34</f>
        <v>1.255026</v>
      </c>
      <c r="J31" s="22">
        <f>SUM(H34*0.09)+H34</f>
        <v>1.255026</v>
      </c>
      <c r="K31" s="9"/>
    </row>
    <row r="32" spans="2:1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1.289568</v>
      </c>
      <c r="I32" s="22">
        <f>SUM(H34*0.09)+H34</f>
        <v>1.255026</v>
      </c>
      <c r="J32" s="22">
        <f>SUM(H34*0.09)+H34</f>
        <v>1.255026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SUM(INICIO!J25)</f>
        <v>1.3748199999999999</v>
      </c>
      <c r="D34" s="10"/>
      <c r="E34" s="10"/>
      <c r="F34" s="10"/>
      <c r="G34" s="26" t="s">
        <v>5</v>
      </c>
      <c r="H34" s="27">
        <f>SUM(INICIO!P25)</f>
        <v>1.1514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1.3678631999999999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1.3551978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1.3678631999999999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1:11" ht="15.75" thickBot="1" x14ac:dyDescent="0.3">
      <c r="A1" s="1">
        <v>1692.72</v>
      </c>
    </row>
    <row r="2" spans="1:11" ht="19.5" thickBot="1" x14ac:dyDescent="0.3">
      <c r="B2" s="11" t="s">
        <v>15</v>
      </c>
      <c r="D2" s="263" t="str">
        <f>PROPER(INICIO!D26)</f>
        <v>Hornos Del Sur/Carbone/Msequipment</v>
      </c>
      <c r="E2" s="264"/>
      <c r="F2" s="264"/>
      <c r="G2" s="265"/>
    </row>
    <row r="3" spans="1:11" ht="15.75" thickBot="1" x14ac:dyDescent="0.3"/>
    <row r="4" spans="1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45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1" ht="15.75" x14ac:dyDescent="0.25"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45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1" ht="15.75" x14ac:dyDescent="0.25"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45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1" ht="15.75" x14ac:dyDescent="0.25"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45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1" ht="15.75" x14ac:dyDescent="0.25"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45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1" ht="15.75" x14ac:dyDescent="0.25"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45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1" ht="15.75" x14ac:dyDescent="0.25"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44"/>
    </row>
    <row r="14" spans="1:11" ht="15.75" x14ac:dyDescent="0.25"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44"/>
    </row>
    <row r="15" spans="1:11" ht="16.5" thickBot="1" x14ac:dyDescent="0.3">
      <c r="B15" s="10"/>
      <c r="C15" s="43"/>
      <c r="D15" s="43"/>
      <c r="E15" s="43"/>
      <c r="F15" s="43"/>
      <c r="G15" s="10"/>
      <c r="H15" s="43"/>
      <c r="I15" s="43"/>
      <c r="J15" s="43"/>
      <c r="K15" s="44"/>
    </row>
    <row r="16" spans="1:11" ht="16.5" thickBot="1" x14ac:dyDescent="0.3">
      <c r="B16" s="14" t="s">
        <v>5</v>
      </c>
      <c r="C16" s="41">
        <f>SUM(INICIO!K26)</f>
        <v>2098.3384799999999</v>
      </c>
      <c r="D16" s="43"/>
      <c r="E16" s="43"/>
      <c r="F16" s="43"/>
      <c r="G16" s="26" t="s">
        <v>5</v>
      </c>
      <c r="H16" s="42">
        <f>SUM(INICIO!Q26)</f>
        <v>1793.1059999999998</v>
      </c>
      <c r="I16" s="43"/>
      <c r="J16" s="43"/>
      <c r="K16" s="44"/>
    </row>
    <row r="17" spans="2:11" ht="15.75" x14ac:dyDescent="0.25">
      <c r="B17" s="10"/>
      <c r="C17" s="43"/>
      <c r="D17" s="43"/>
      <c r="E17" s="43"/>
      <c r="F17" s="43"/>
      <c r="G17" s="10"/>
      <c r="H17" s="10"/>
      <c r="I17" s="10"/>
      <c r="J17" s="10" t="s">
        <v>264</v>
      </c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 t="s">
        <v>340</v>
      </c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2:1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2:1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2:1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2:1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2:1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SUM(INICIO!J26)</f>
        <v>1.40076</v>
      </c>
      <c r="D34" s="10"/>
      <c r="E34" s="10"/>
      <c r="F34" s="10"/>
      <c r="G34" s="26" t="s">
        <v>5</v>
      </c>
      <c r="H34" s="27">
        <f>SUM(INICIO!P26)</f>
        <v>1.1969999999999998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K38"/>
  <sheetViews>
    <sheetView showGridLines="0" workbookViewId="0"/>
  </sheetViews>
  <sheetFormatPr baseColWidth="10" defaultColWidth="11.42578125" defaultRowHeight="15" x14ac:dyDescent="0.25"/>
  <cols>
    <col min="1" max="13" width="11.42578125" style="1"/>
    <col min="14" max="14" width="14.140625" style="1" customWidth="1"/>
    <col min="15" max="16384" width="11.42578125" style="1"/>
  </cols>
  <sheetData>
    <row r="1" spans="2:11" ht="15.75" thickBot="1" x14ac:dyDescent="0.3"/>
    <row r="2" spans="2:11" ht="19.5" thickBot="1" x14ac:dyDescent="0.3">
      <c r="B2" s="11" t="s">
        <v>15</v>
      </c>
      <c r="D2" s="263" t="str">
        <f>PROPER(INICIO!D27)</f>
        <v>Rominic/Norberto</v>
      </c>
      <c r="E2" s="264"/>
      <c r="F2" s="264"/>
      <c r="G2" s="265"/>
    </row>
    <row r="3" spans="2:11" ht="15.75" thickBot="1" x14ac:dyDescent="0.3"/>
    <row r="4" spans="2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2:11" ht="15.75" x14ac:dyDescent="0.25">
      <c r="B6" s="17">
        <v>16</v>
      </c>
      <c r="C6" s="40">
        <f>SUM(C16*0.07)+C16</f>
        <v>2577.8476807999996</v>
      </c>
      <c r="D6" s="40">
        <f>SUM(C16*0.04)+C16</f>
        <v>2505.5715775999997</v>
      </c>
      <c r="E6" s="40">
        <f>SUM(C16*0.04)+C16</f>
        <v>2505.5715775999997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2:11" ht="15.75" x14ac:dyDescent="0.25">
      <c r="B7" s="17">
        <v>18</v>
      </c>
      <c r="C7" s="40">
        <f>SUM(C16*0.07)+C16</f>
        <v>2577.8476807999996</v>
      </c>
      <c r="D7" s="40">
        <f>SUM(C16*0.04)+C16</f>
        <v>2505.5715775999997</v>
      </c>
      <c r="E7" s="40">
        <f>SUM(C16*0.04)+C16</f>
        <v>2505.5715775999997</v>
      </c>
      <c r="F7" s="16"/>
      <c r="G7" s="18">
        <v>2</v>
      </c>
      <c r="H7" s="40">
        <f>SUM(H16*0.14)+H16</f>
        <v>2336.1609599999997</v>
      </c>
      <c r="I7" s="40">
        <f>SUM(H16*0.11)+H16</f>
        <v>2274.6830399999994</v>
      </c>
      <c r="J7" s="40" t="s">
        <v>2</v>
      </c>
      <c r="K7" s="44"/>
    </row>
    <row r="8" spans="2:11" ht="15.75" x14ac:dyDescent="0.25">
      <c r="B8" s="17" t="s">
        <v>3</v>
      </c>
      <c r="C8" s="40">
        <f>SUM(C16*0.08)+C16</f>
        <v>2601.9397151999997</v>
      </c>
      <c r="D8" s="40">
        <f>SUM(C16*0.05)+C16</f>
        <v>2529.6636119999998</v>
      </c>
      <c r="E8" s="40">
        <f>SUM(C16*0.05)+C16</f>
        <v>2529.6636119999998</v>
      </c>
      <c r="F8" s="16"/>
      <c r="G8" s="18">
        <v>2.5</v>
      </c>
      <c r="H8" s="40">
        <f>SUM(H16*0.12)+H16</f>
        <v>2295.1756799999998</v>
      </c>
      <c r="I8" s="40">
        <f>SUM(H16*0.09)+H16</f>
        <v>2233.6977599999996</v>
      </c>
      <c r="J8" s="40" t="s">
        <v>2</v>
      </c>
      <c r="K8" s="44"/>
    </row>
    <row r="9" spans="2:11" ht="15.75" x14ac:dyDescent="0.25">
      <c r="B9" s="17">
        <v>22</v>
      </c>
      <c r="C9" s="40">
        <f>SUM(C16*0.1)+C16</f>
        <v>2650.1237839999999</v>
      </c>
      <c r="D9" s="40">
        <f>SUM(C16*0.07)+C16</f>
        <v>2577.8476807999996</v>
      </c>
      <c r="E9" s="40">
        <f>SUM(C16*0.07)+C16</f>
        <v>2577.8476807999996</v>
      </c>
      <c r="F9" s="16"/>
      <c r="G9" s="18">
        <v>3.17</v>
      </c>
      <c r="H9" s="40">
        <f>SUM(H16*0.11)+H16</f>
        <v>2274.6830399999994</v>
      </c>
      <c r="I9" s="40">
        <f>SUM(H16*0.08)+H16</f>
        <v>2213.2051199999996</v>
      </c>
      <c r="J9" s="40">
        <f>SUM(H16*0.08)+H16</f>
        <v>2213.2051199999996</v>
      </c>
      <c r="K9" s="44"/>
    </row>
    <row r="10" spans="2:11" ht="15.75" x14ac:dyDescent="0.25">
      <c r="B10" s="17">
        <v>0.65</v>
      </c>
      <c r="C10" s="40">
        <f>SUM(C16*0.12)+C16</f>
        <v>2698.3078527999996</v>
      </c>
      <c r="D10" s="40">
        <f>SUM(C16*0.09)+C16</f>
        <v>2626.0317495999998</v>
      </c>
      <c r="E10" s="40" t="s">
        <v>2</v>
      </c>
      <c r="F10" s="16"/>
      <c r="G10" s="18" t="s">
        <v>4</v>
      </c>
      <c r="H10" s="40">
        <f>SUM(H16*0.1)+H16</f>
        <v>2254.1903999999995</v>
      </c>
      <c r="I10" s="40">
        <f>SUM(H16*0.07+H16)</f>
        <v>2192.7124799999997</v>
      </c>
      <c r="J10" s="40">
        <f>SUM(H16*0.07)+H16</f>
        <v>2192.7124799999997</v>
      </c>
      <c r="K10" s="44"/>
    </row>
    <row r="11" spans="2:11" ht="15.75" x14ac:dyDescent="0.25">
      <c r="B11" s="17">
        <v>24</v>
      </c>
      <c r="C11" s="40">
        <f>SUM(C16*0.16)+C16</f>
        <v>2794.6759903999996</v>
      </c>
      <c r="D11" s="40">
        <f>SUM(C16*0.13)+C16</f>
        <v>2722.3998871999997</v>
      </c>
      <c r="E11" s="40" t="s">
        <v>2</v>
      </c>
      <c r="F11" s="16"/>
      <c r="G11" s="18">
        <v>6.35</v>
      </c>
      <c r="H11" s="40">
        <f>SUM(H16*0.11)+H16</f>
        <v>2274.6830399999994</v>
      </c>
      <c r="I11" s="40">
        <f>SUM(H16*0.08)+H16</f>
        <v>2213.2051199999996</v>
      </c>
      <c r="J11" s="40">
        <f>SUM(H16*0.08)+H16</f>
        <v>2213.2051199999996</v>
      </c>
      <c r="K11" s="44"/>
    </row>
    <row r="12" spans="2:11" ht="15.75" x14ac:dyDescent="0.25">
      <c r="B12" s="17">
        <v>26</v>
      </c>
      <c r="C12" s="40">
        <f>SUM(C16*0.2)+C16</f>
        <v>2891.0441279999995</v>
      </c>
      <c r="D12" s="40">
        <f>SUM(C16*0.15)+C16</f>
        <v>2770.5839559999995</v>
      </c>
      <c r="E12" s="40" t="s">
        <v>2</v>
      </c>
      <c r="F12" s="16"/>
      <c r="G12" s="18">
        <v>8</v>
      </c>
      <c r="H12" s="40">
        <f>SUM(H16*0.11)+H16</f>
        <v>2274.6830399999994</v>
      </c>
      <c r="I12" s="40">
        <f>SUM(H16*0.08)+H16</f>
        <v>2213.2051199999996</v>
      </c>
      <c r="J12" s="40">
        <f>SUM(H16*0.08)+H16</f>
        <v>2213.2051199999996</v>
      </c>
      <c r="K12" s="44"/>
    </row>
    <row r="13" spans="2:11" ht="15.75" x14ac:dyDescent="0.25">
      <c r="B13" s="17">
        <v>27</v>
      </c>
      <c r="C13" s="40">
        <f>SUM(C16*0.26)+C16</f>
        <v>3035.5963343999997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2295.1756799999998</v>
      </c>
      <c r="I13" s="40">
        <f>SUM(H16*0.09)+H16</f>
        <v>2233.6977599999996</v>
      </c>
      <c r="J13" s="40">
        <f>SUM(H16*0.1)+H16</f>
        <v>2254.1903999999995</v>
      </c>
      <c r="K13" s="44"/>
    </row>
    <row r="14" spans="2:11" ht="15.75" x14ac:dyDescent="0.25">
      <c r="B14" s="17">
        <v>30</v>
      </c>
      <c r="C14" s="40">
        <f>SUM(C16*0.32)+C16</f>
        <v>3180.1485407999999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2295.1756799999998</v>
      </c>
      <c r="I14" s="40">
        <f>SUM(H16*0.09)+H16</f>
        <v>2233.6977599999996</v>
      </c>
      <c r="J14" s="40">
        <f>SUM(H16*0.1)+H16</f>
        <v>2254.1903999999995</v>
      </c>
      <c r="K14" s="44"/>
    </row>
    <row r="15" spans="2:11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2:11" ht="16.5" thickBot="1" x14ac:dyDescent="0.3">
      <c r="B16" s="14" t="s">
        <v>5</v>
      </c>
      <c r="C16" s="41">
        <f>SUM(INICIO!K27)</f>
        <v>2409.2034399999998</v>
      </c>
      <c r="D16" s="43"/>
      <c r="E16" s="43"/>
      <c r="F16" s="10"/>
      <c r="G16" s="26" t="s">
        <v>5</v>
      </c>
      <c r="H16" s="42">
        <f>SUM(INICIO!Q27)</f>
        <v>2049.2639999999997</v>
      </c>
      <c r="I16" s="43"/>
      <c r="J16" s="43" t="s">
        <v>92</v>
      </c>
      <c r="K16" s="44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 t="s">
        <v>52</v>
      </c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2434.5256319999994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2411.9837279999997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2434.5256319999994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1.7208595999999998</v>
      </c>
      <c r="D24" s="22">
        <f>SUM(C34*0.04)+C34</f>
        <v>1.6726112</v>
      </c>
      <c r="E24" s="22">
        <f>SUM(C34*0.04)+C34</f>
        <v>1.6726112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1.7208595999999998</v>
      </c>
      <c r="D25" s="22">
        <f>SUM(C34*0.04)+C34</f>
        <v>1.6726112</v>
      </c>
      <c r="E25" s="22">
        <f>SUM(C34*0.04)+C34</f>
        <v>1.6726112</v>
      </c>
      <c r="F25" s="16"/>
      <c r="G25" s="18">
        <v>2</v>
      </c>
      <c r="H25" s="22">
        <f>SUM(H34*0.14)+H34</f>
        <v>1.5595199999999998</v>
      </c>
      <c r="I25" s="22">
        <f>SUM(H34*0.11)+H34</f>
        <v>1.5184799999999998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1.7369424</v>
      </c>
      <c r="D26" s="22">
        <f>SUM(C34*0.05)+C34</f>
        <v>1.6886939999999999</v>
      </c>
      <c r="E26" s="22">
        <f>SUM(C34*0.05)+C34</f>
        <v>1.6886939999999999</v>
      </c>
      <c r="F26" s="16"/>
      <c r="G26" s="18">
        <v>2.5</v>
      </c>
      <c r="H26" s="22">
        <f>SUM(H34*0.12)+H34</f>
        <v>1.5321599999999997</v>
      </c>
      <c r="I26" s="22">
        <f>SUM(H34*0.09)+H34</f>
        <v>1.4911199999999998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1.7691079999999999</v>
      </c>
      <c r="D27" s="22">
        <f>SUM(C34*0.07)+C34</f>
        <v>1.7208595999999998</v>
      </c>
      <c r="E27" s="22">
        <f>SUM(C34*0.07)+C34</f>
        <v>1.7208595999999998</v>
      </c>
      <c r="F27" s="16"/>
      <c r="G27" s="18">
        <v>3.17</v>
      </c>
      <c r="H27" s="22">
        <f>SUM(H34*0.11)+H34</f>
        <v>1.5184799999999998</v>
      </c>
      <c r="I27" s="22">
        <f>SUM(H34*0.08)+H34</f>
        <v>1.4774399999999999</v>
      </c>
      <c r="J27" s="22">
        <f>SUM(H34*0.08)+H34</f>
        <v>1.4774399999999999</v>
      </c>
      <c r="K27" s="9"/>
    </row>
    <row r="28" spans="2:11" ht="15.75" x14ac:dyDescent="0.25">
      <c r="B28" s="17">
        <v>0.65</v>
      </c>
      <c r="C28" s="22">
        <f>SUM(C34*0.12)+C34</f>
        <v>1.8012736</v>
      </c>
      <c r="D28" s="22">
        <f>SUM(C34*0.09)+C34</f>
        <v>1.7530252</v>
      </c>
      <c r="E28" s="23" t="s">
        <v>2</v>
      </c>
      <c r="F28" s="16"/>
      <c r="G28" s="18" t="s">
        <v>4</v>
      </c>
      <c r="H28" s="22">
        <f>SUM(H34*0.1)+H34</f>
        <v>1.5047999999999999</v>
      </c>
      <c r="I28" s="22">
        <f>SUM(H34*0.07+H34)</f>
        <v>1.46376</v>
      </c>
      <c r="J28" s="22">
        <f>SUM(H34*0.07)+H34</f>
        <v>1.46376</v>
      </c>
      <c r="K28" s="9"/>
    </row>
    <row r="29" spans="2:11" ht="15.75" x14ac:dyDescent="0.25">
      <c r="B29" s="17">
        <v>24</v>
      </c>
      <c r="C29" s="22">
        <f>SUM(C34*0.16)+C34</f>
        <v>1.8656047999999998</v>
      </c>
      <c r="D29" s="22">
        <f>SUM(C34*0.13)+C34</f>
        <v>1.8173564</v>
      </c>
      <c r="E29" s="23" t="s">
        <v>2</v>
      </c>
      <c r="F29" s="16"/>
      <c r="G29" s="18">
        <v>6.35</v>
      </c>
      <c r="H29" s="22">
        <f>SUM(H34*0.11)+H34</f>
        <v>1.5184799999999998</v>
      </c>
      <c r="I29" s="22">
        <f>SUM(H34*0.08)+H34</f>
        <v>1.4774399999999999</v>
      </c>
      <c r="J29" s="22">
        <f>SUM(H34*0.08)+H34</f>
        <v>1.4774399999999999</v>
      </c>
      <c r="K29" s="9"/>
    </row>
    <row r="30" spans="2:11" ht="15.75" x14ac:dyDescent="0.25">
      <c r="B30" s="17">
        <v>26</v>
      </c>
      <c r="C30" s="22">
        <f>SUM(C34*0.2)+C34</f>
        <v>1.9299359999999999</v>
      </c>
      <c r="D30" s="22">
        <f>SUM(C34*0.15)+C34</f>
        <v>1.8495219999999999</v>
      </c>
      <c r="E30" s="23" t="s">
        <v>2</v>
      </c>
      <c r="F30" s="16"/>
      <c r="G30" s="18">
        <v>8</v>
      </c>
      <c r="H30" s="22">
        <f>SUM(H34*0.11)+H34</f>
        <v>1.5184799999999998</v>
      </c>
      <c r="I30" s="22">
        <f>SUM(H34*0.08)+H34</f>
        <v>1.4774399999999999</v>
      </c>
      <c r="J30" s="22">
        <f>SUM(H34*0.08)+H34</f>
        <v>1.4774399999999999</v>
      </c>
      <c r="K30" s="9"/>
    </row>
    <row r="31" spans="2:11" ht="15.75" x14ac:dyDescent="0.25">
      <c r="B31" s="17">
        <v>27</v>
      </c>
      <c r="C31" s="22">
        <f>SUM(C34*0.26)+C34</f>
        <v>2.0264327999999998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1.5321599999999997</v>
      </c>
      <c r="I31" s="22">
        <f>SUM(H34*0.09)+H34</f>
        <v>1.4911199999999998</v>
      </c>
      <c r="J31" s="22">
        <f>SUM(H34*0.1)+H34</f>
        <v>1.5047999999999999</v>
      </c>
      <c r="K31" s="9"/>
    </row>
    <row r="32" spans="2:11" ht="15.75" x14ac:dyDescent="0.25">
      <c r="B32" s="17">
        <v>30</v>
      </c>
      <c r="C32" s="22">
        <f>SUM(C34*0.32)+C34</f>
        <v>2.1229296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1.5321599999999997</v>
      </c>
      <c r="I32" s="22">
        <f>SUM(H34*0.09)+H34</f>
        <v>1.4911199999999998</v>
      </c>
      <c r="J32" s="22">
        <f>SUM(H34*0.1)+H34</f>
        <v>1.5047999999999999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SUM(INICIO!J27)</f>
        <v>1.6082799999999999</v>
      </c>
      <c r="D34" s="10"/>
      <c r="E34" s="10"/>
      <c r="F34" s="10"/>
      <c r="G34" s="26" t="s">
        <v>5</v>
      </c>
      <c r="H34" s="27">
        <f>SUM(INICIO!P27)</f>
        <v>1.3679999999999999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1.625184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1.610136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1.625184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1" ht="15.75" thickBot="1" x14ac:dyDescent="0.3"/>
    <row r="2" spans="2:11" ht="19.5" thickBot="1" x14ac:dyDescent="0.3">
      <c r="B2" s="11" t="s">
        <v>15</v>
      </c>
      <c r="D2" s="263" t="str">
        <f>PROPER(INICIO!D28)</f>
        <v>Gestec/Arlem/Figue/Denti</v>
      </c>
      <c r="E2" s="264"/>
      <c r="F2" s="264"/>
      <c r="G2" s="265"/>
    </row>
    <row r="3" spans="2:11" ht="15.75" thickBot="1" x14ac:dyDescent="0.3"/>
    <row r="4" spans="2:1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1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2:11" ht="15.75" x14ac:dyDescent="0.25">
      <c r="B6" s="17">
        <v>16</v>
      </c>
      <c r="C6" s="40">
        <f>SUM(C16*0.07)+C16</f>
        <v>2577.8476807999996</v>
      </c>
      <c r="D6" s="40">
        <f>SUM(C16*0.04)+C16</f>
        <v>2505.5715775999997</v>
      </c>
      <c r="E6" s="40">
        <f>SUM(C16*0.04)+C16</f>
        <v>2505.5715775999997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2:11" ht="15.75" x14ac:dyDescent="0.25">
      <c r="B7" s="17">
        <v>18</v>
      </c>
      <c r="C7" s="40">
        <f>SUM(C16*0.07)+C16</f>
        <v>2577.8476807999996</v>
      </c>
      <c r="D7" s="40">
        <f>SUM(C16*0.04)+C16</f>
        <v>2505.5715775999997</v>
      </c>
      <c r="E7" s="40">
        <f>SUM(C16*0.04)+C16</f>
        <v>2505.5715775999997</v>
      </c>
      <c r="F7" s="45"/>
      <c r="G7" s="18">
        <v>2</v>
      </c>
      <c r="H7" s="40">
        <f>SUM(H16*0.14)+H16</f>
        <v>2336.1609599999997</v>
      </c>
      <c r="I7" s="40">
        <f>SUM(H16*0.11)+H16</f>
        <v>2274.6830399999994</v>
      </c>
      <c r="J7" s="40" t="s">
        <v>2</v>
      </c>
      <c r="K7" s="9"/>
    </row>
    <row r="8" spans="2:11" ht="15.75" x14ac:dyDescent="0.25">
      <c r="B8" s="17" t="s">
        <v>3</v>
      </c>
      <c r="C8" s="40">
        <f>SUM(C16*0.08)+C16</f>
        <v>2601.9397151999997</v>
      </c>
      <c r="D8" s="40">
        <f>SUM(C16*0.05)+C16</f>
        <v>2529.6636119999998</v>
      </c>
      <c r="E8" s="40">
        <f>SUM(C16*0.05)+C16</f>
        <v>2529.6636119999998</v>
      </c>
      <c r="F8" s="45"/>
      <c r="G8" s="18">
        <v>2.5</v>
      </c>
      <c r="H8" s="40">
        <f>SUM(H16*0.12)+H16</f>
        <v>2295.1756799999998</v>
      </c>
      <c r="I8" s="40">
        <f>SUM(H16*0.09)+H16</f>
        <v>2233.6977599999996</v>
      </c>
      <c r="J8" s="40" t="s">
        <v>2</v>
      </c>
      <c r="K8" s="9"/>
    </row>
    <row r="9" spans="2:11" ht="15.75" x14ac:dyDescent="0.25">
      <c r="B9" s="17">
        <v>22</v>
      </c>
      <c r="C9" s="40">
        <f>SUM(C16*0.1)+C16</f>
        <v>2650.1237839999999</v>
      </c>
      <c r="D9" s="40">
        <f>SUM(C16*0.07)+C16</f>
        <v>2577.8476807999996</v>
      </c>
      <c r="E9" s="40">
        <f>SUM(C16*0.07)+C16</f>
        <v>2577.8476807999996</v>
      </c>
      <c r="F9" s="45"/>
      <c r="G9" s="18">
        <v>3.17</v>
      </c>
      <c r="H9" s="40">
        <f>SUM(H16*0.11)+H16</f>
        <v>2274.6830399999994</v>
      </c>
      <c r="I9" s="40">
        <f>SUM(H16*0.08)+H16</f>
        <v>2213.2051199999996</v>
      </c>
      <c r="J9" s="40">
        <f>SUM(H16*0.08)+H16</f>
        <v>2213.2051199999996</v>
      </c>
      <c r="K9" s="9"/>
    </row>
    <row r="10" spans="2:11" ht="15.75" x14ac:dyDescent="0.25">
      <c r="B10" s="17">
        <v>0.65</v>
      </c>
      <c r="C10" s="40">
        <f>SUM(C16*0.12)+C16</f>
        <v>2698.3078527999996</v>
      </c>
      <c r="D10" s="40">
        <f>SUM(C16*0.09)+C16</f>
        <v>2626.0317495999998</v>
      </c>
      <c r="E10" s="40" t="s">
        <v>2</v>
      </c>
      <c r="F10" s="45"/>
      <c r="G10" s="18" t="s">
        <v>4</v>
      </c>
      <c r="H10" s="40">
        <f>SUM(H16*0.1)+H16</f>
        <v>2254.1903999999995</v>
      </c>
      <c r="I10" s="40">
        <f>SUM(H16*0.07+H16)</f>
        <v>2192.7124799999997</v>
      </c>
      <c r="J10" s="40">
        <f>SUM(H16*0.07)+H16</f>
        <v>2192.7124799999997</v>
      </c>
      <c r="K10" s="9"/>
    </row>
    <row r="11" spans="2:11" ht="15.75" x14ac:dyDescent="0.25">
      <c r="B11" s="17">
        <v>24</v>
      </c>
      <c r="C11" s="40">
        <f>SUM(C16*0.16)+C16</f>
        <v>2794.6759903999996</v>
      </c>
      <c r="D11" s="40">
        <f>SUM(C16*0.13)+C16</f>
        <v>2722.3998871999997</v>
      </c>
      <c r="E11" s="40" t="s">
        <v>2</v>
      </c>
      <c r="F11" s="45"/>
      <c r="G11" s="18">
        <v>6.35</v>
      </c>
      <c r="H11" s="40">
        <f>SUM(H16*0.11)+H16</f>
        <v>2274.6830399999994</v>
      </c>
      <c r="I11" s="40">
        <f>SUM(H16*0.08)+H16</f>
        <v>2213.2051199999996</v>
      </c>
      <c r="J11" s="40">
        <f>SUM(H16*0.08)+H16</f>
        <v>2213.2051199999996</v>
      </c>
      <c r="K11" s="9"/>
    </row>
    <row r="12" spans="2:11" ht="15.75" x14ac:dyDescent="0.25">
      <c r="B12" s="17">
        <v>26</v>
      </c>
      <c r="C12" s="40">
        <f>SUM(C16*0.2)+C16</f>
        <v>2891.0441279999995</v>
      </c>
      <c r="D12" s="40">
        <f>SUM(C16*0.15)+C16</f>
        <v>2770.5839559999995</v>
      </c>
      <c r="E12" s="40" t="s">
        <v>2</v>
      </c>
      <c r="F12" s="45"/>
      <c r="G12" s="18">
        <v>8</v>
      </c>
      <c r="H12" s="40">
        <f>SUM(H16*0.11)+H16</f>
        <v>2274.6830399999994</v>
      </c>
      <c r="I12" s="40">
        <f>SUM(H16*0.08)+H16</f>
        <v>2213.2051199999996</v>
      </c>
      <c r="J12" s="40">
        <f>SUM(H16*0.08)+H16</f>
        <v>2213.2051199999996</v>
      </c>
      <c r="K12" s="9"/>
    </row>
    <row r="13" spans="2:11" ht="15.75" x14ac:dyDescent="0.25">
      <c r="B13" s="17">
        <v>27</v>
      </c>
      <c r="C13" s="40">
        <f>SUM(C16*0.26)+C16</f>
        <v>3035.5963343999997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2295.1756799999998</v>
      </c>
      <c r="I13" s="40">
        <f>SUM(H16*0.09)+H16</f>
        <v>2233.6977599999996</v>
      </c>
      <c r="J13" s="40">
        <f>SUM(H16*0.1)+H16</f>
        <v>2254.1903999999995</v>
      </c>
      <c r="K13" s="9"/>
    </row>
    <row r="14" spans="2:11" ht="15.75" x14ac:dyDescent="0.25">
      <c r="B14" s="17">
        <v>30</v>
      </c>
      <c r="C14" s="40">
        <f>SUM(C16*0.32)+C16</f>
        <v>3180.1485407999999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2295.1756799999998</v>
      </c>
      <c r="I14" s="40">
        <f>SUM(H16*0.09)+H16</f>
        <v>2233.6977599999996</v>
      </c>
      <c r="J14" s="40">
        <f>SUM(H16*0.1)+H16</f>
        <v>2254.1903999999995</v>
      </c>
      <c r="K14" s="9"/>
    </row>
    <row r="15" spans="2:11" ht="16.5" thickBot="1" x14ac:dyDescent="0.3"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2:11" ht="16.5" thickBot="1" x14ac:dyDescent="0.3">
      <c r="B16" s="14" t="s">
        <v>5</v>
      </c>
      <c r="C16" s="41">
        <f>SUM(INICIO!K28)</f>
        <v>2409.2034399999998</v>
      </c>
      <c r="D16" s="43"/>
      <c r="E16" s="43"/>
      <c r="F16" s="43"/>
      <c r="G16" s="26" t="s">
        <v>5</v>
      </c>
      <c r="H16" s="42">
        <f>SUM(INICIO!Q28)</f>
        <v>2049.2639999999997</v>
      </c>
      <c r="I16" s="43"/>
      <c r="J16" s="43"/>
      <c r="K16" s="9"/>
    </row>
    <row r="17" spans="2:11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2:11" ht="15.75" x14ac:dyDescent="0.25">
      <c r="B18" s="17">
        <v>3.17</v>
      </c>
      <c r="C18" s="8">
        <v>1245</v>
      </c>
      <c r="D18" s="23" t="s">
        <v>6</v>
      </c>
      <c r="E18" s="40">
        <f>SUM(I9*0.1)+I9</f>
        <v>2434.5256319999994</v>
      </c>
      <c r="F18" s="10"/>
      <c r="G18" s="10"/>
      <c r="H18" s="19"/>
      <c r="I18" s="10" t="s">
        <v>7</v>
      </c>
      <c r="J18" s="10"/>
      <c r="K18" s="9"/>
    </row>
    <row r="19" spans="2:11" ht="15.75" x14ac:dyDescent="0.25">
      <c r="B19" s="17">
        <v>4.75</v>
      </c>
      <c r="C19" s="8">
        <v>1500</v>
      </c>
      <c r="D19" s="23" t="s">
        <v>6</v>
      </c>
      <c r="E19" s="40">
        <f>SUM(J10*0.1)+J10</f>
        <v>2411.9837279999997</v>
      </c>
      <c r="F19" s="10"/>
      <c r="G19" s="10"/>
      <c r="H19" s="20"/>
      <c r="I19" s="10" t="s">
        <v>8</v>
      </c>
      <c r="J19" s="10"/>
      <c r="K19" s="9"/>
    </row>
    <row r="20" spans="2:11" ht="15.75" x14ac:dyDescent="0.25">
      <c r="B20" s="17">
        <v>6.35</v>
      </c>
      <c r="C20" s="8">
        <v>1500</v>
      </c>
      <c r="D20" s="23" t="s">
        <v>6</v>
      </c>
      <c r="E20" s="40">
        <f>SUM(J11*0.1)+J11</f>
        <v>2434.5256319999994</v>
      </c>
      <c r="F20" s="10"/>
      <c r="G20" s="10"/>
      <c r="H20" s="21"/>
      <c r="I20" s="10" t="s">
        <v>9</v>
      </c>
      <c r="J20" s="10"/>
      <c r="K20" s="9"/>
    </row>
    <row r="21" spans="2:11" ht="16.5" thickBot="1" x14ac:dyDescent="0.3"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2:1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1" ht="15.75" x14ac:dyDescent="0.25">
      <c r="B24" s="17">
        <v>16</v>
      </c>
      <c r="C24" s="22">
        <f>SUM(C34*0.07)+C34</f>
        <v>1.7208595999999998</v>
      </c>
      <c r="D24" s="22">
        <f>SUM(C34*0.04)+C34</f>
        <v>1.6726112</v>
      </c>
      <c r="E24" s="22">
        <f>SUM(C34*0.04)+C34</f>
        <v>1.6726112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1" ht="15.75" x14ac:dyDescent="0.25">
      <c r="B25" s="17">
        <v>18</v>
      </c>
      <c r="C25" s="22">
        <f>SUM(C34*0.07)+C34</f>
        <v>1.7208595999999998</v>
      </c>
      <c r="D25" s="22">
        <f>SUM(C34*0.04)+C34</f>
        <v>1.6726112</v>
      </c>
      <c r="E25" s="22">
        <f>SUM(C34*0.04)+C34</f>
        <v>1.6726112</v>
      </c>
      <c r="F25" s="16"/>
      <c r="G25" s="18">
        <v>2</v>
      </c>
      <c r="H25" s="22">
        <f>SUM(H34*0.14)+H34</f>
        <v>1.5595199999999998</v>
      </c>
      <c r="I25" s="22">
        <f>SUM(H34*0.11)+H34</f>
        <v>1.5184799999999998</v>
      </c>
      <c r="J25" s="23" t="s">
        <v>2</v>
      </c>
      <c r="K25" s="9"/>
    </row>
    <row r="26" spans="2:11" ht="15.75" x14ac:dyDescent="0.25">
      <c r="B26" s="17" t="s">
        <v>3</v>
      </c>
      <c r="C26" s="22">
        <f>SUM(C34*0.08)+C34</f>
        <v>1.7369424</v>
      </c>
      <c r="D26" s="22">
        <f>SUM(C34*0.05)+C34</f>
        <v>1.6886939999999999</v>
      </c>
      <c r="E26" s="22">
        <f>SUM(C34*0.05)+C34</f>
        <v>1.6886939999999999</v>
      </c>
      <c r="F26" s="16"/>
      <c r="G26" s="18">
        <v>2.5</v>
      </c>
      <c r="H26" s="22">
        <f>SUM(H34*0.12)+H34</f>
        <v>1.5321599999999997</v>
      </c>
      <c r="I26" s="22">
        <f>SUM(H34*0.09)+H34</f>
        <v>1.4911199999999998</v>
      </c>
      <c r="J26" s="23" t="s">
        <v>2</v>
      </c>
      <c r="K26" s="9"/>
    </row>
    <row r="27" spans="2:11" ht="15.75" x14ac:dyDescent="0.25">
      <c r="B27" s="17">
        <v>22</v>
      </c>
      <c r="C27" s="22">
        <f>SUM(C34*0.1)+C34</f>
        <v>1.7691079999999999</v>
      </c>
      <c r="D27" s="22">
        <f>SUM(C34*0.07)+C34</f>
        <v>1.7208595999999998</v>
      </c>
      <c r="E27" s="22">
        <f>SUM(C34*0.07)+C34</f>
        <v>1.7208595999999998</v>
      </c>
      <c r="F27" s="16"/>
      <c r="G27" s="18">
        <v>3.17</v>
      </c>
      <c r="H27" s="22">
        <f>SUM(H34*0.11)+H34</f>
        <v>1.5184799999999998</v>
      </c>
      <c r="I27" s="22">
        <f>SUM(H34*0.08)+H34</f>
        <v>1.4774399999999999</v>
      </c>
      <c r="J27" s="22">
        <f>SUM(H34*0.08)+H34</f>
        <v>1.4774399999999999</v>
      </c>
      <c r="K27" s="9"/>
    </row>
    <row r="28" spans="2:11" ht="15.75" x14ac:dyDescent="0.25">
      <c r="B28" s="17">
        <v>0.65</v>
      </c>
      <c r="C28" s="22">
        <f>SUM(C34*0.12)+C34</f>
        <v>1.8012736</v>
      </c>
      <c r="D28" s="22">
        <f>SUM(C34*0.09)+C34</f>
        <v>1.7530252</v>
      </c>
      <c r="E28" s="23" t="s">
        <v>2</v>
      </c>
      <c r="F28" s="16"/>
      <c r="G28" s="18" t="s">
        <v>4</v>
      </c>
      <c r="H28" s="22">
        <f>SUM(H34*0.1)+H34</f>
        <v>1.5047999999999999</v>
      </c>
      <c r="I28" s="22">
        <f>SUM(H34*0.07+H34)</f>
        <v>1.46376</v>
      </c>
      <c r="J28" s="22">
        <f>SUM(H34*0.07)+H34</f>
        <v>1.46376</v>
      </c>
      <c r="K28" s="9"/>
    </row>
    <row r="29" spans="2:11" ht="15.75" x14ac:dyDescent="0.25">
      <c r="B29" s="17">
        <v>24</v>
      </c>
      <c r="C29" s="22">
        <f>SUM(C34*0.16)+C34</f>
        <v>1.8656047999999998</v>
      </c>
      <c r="D29" s="22">
        <f>SUM(C34*0.13)+C34</f>
        <v>1.8173564</v>
      </c>
      <c r="E29" s="23" t="s">
        <v>2</v>
      </c>
      <c r="F29" s="16"/>
      <c r="G29" s="18">
        <v>6.35</v>
      </c>
      <c r="H29" s="22">
        <f>SUM(H34*0.11)+H34</f>
        <v>1.5184799999999998</v>
      </c>
      <c r="I29" s="22">
        <f>SUM(H34*0.08)+H34</f>
        <v>1.4774399999999999</v>
      </c>
      <c r="J29" s="22">
        <f>SUM(H34*0.08)+H34</f>
        <v>1.4774399999999999</v>
      </c>
      <c r="K29" s="9"/>
    </row>
    <row r="30" spans="2:11" ht="15.75" x14ac:dyDescent="0.25">
      <c r="B30" s="17">
        <v>26</v>
      </c>
      <c r="C30" s="22">
        <f>SUM(C34*0.2)+C34</f>
        <v>1.9299359999999999</v>
      </c>
      <c r="D30" s="22">
        <f>SUM(C34*0.15)+C34</f>
        <v>1.8495219999999999</v>
      </c>
      <c r="E30" s="23" t="s">
        <v>2</v>
      </c>
      <c r="F30" s="16"/>
      <c r="G30" s="18">
        <v>8</v>
      </c>
      <c r="H30" s="22">
        <f>SUM(H34*0.11)+H34</f>
        <v>1.5184799999999998</v>
      </c>
      <c r="I30" s="22">
        <f>SUM(H34*0.08)+H34</f>
        <v>1.4774399999999999</v>
      </c>
      <c r="J30" s="22">
        <f>SUM(H34*0.08)+H34</f>
        <v>1.4774399999999999</v>
      </c>
      <c r="K30" s="9"/>
    </row>
    <row r="31" spans="2:11" ht="15.75" x14ac:dyDescent="0.25">
      <c r="B31" s="17">
        <v>27</v>
      </c>
      <c r="C31" s="22">
        <f>SUM(C34*0.26)+C34</f>
        <v>2.0264327999999998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1.5321599999999997</v>
      </c>
      <c r="I31" s="22">
        <f>SUM(H34*0.09)+H34</f>
        <v>1.4911199999999998</v>
      </c>
      <c r="J31" s="22">
        <f>SUM(H34*0.1)+H34</f>
        <v>1.5047999999999999</v>
      </c>
      <c r="K31" s="9"/>
    </row>
    <row r="32" spans="2:11" ht="15.75" x14ac:dyDescent="0.25">
      <c r="B32" s="17">
        <v>30</v>
      </c>
      <c r="C32" s="22">
        <f>SUM(C34*0.32)+C34</f>
        <v>2.1229296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1.5321599999999997</v>
      </c>
      <c r="I32" s="22">
        <f>SUM(H34*0.09)+H34</f>
        <v>1.4911199999999998</v>
      </c>
      <c r="J32" s="22">
        <f>SUM(H34*0.1)+H34</f>
        <v>1.5047999999999999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SUM(INICIO!J28)</f>
        <v>1.6082799999999999</v>
      </c>
      <c r="D34" s="10"/>
      <c r="E34" s="10"/>
      <c r="F34" s="10"/>
      <c r="G34" s="26" t="s">
        <v>5</v>
      </c>
      <c r="H34" s="27">
        <f>SUM(INICIO!P28)</f>
        <v>1.3679999999999999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1.625184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1.610136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1.625184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PROPER(INICIO!D29)</f>
        <v>Tectool / Fioreti/Buero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1966.268808</v>
      </c>
      <c r="I7" s="40">
        <f>SUM(H16*0.11)+H16</f>
        <v>1914.5248919999999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1931.772864</v>
      </c>
      <c r="I8" s="40">
        <f>SUM(H16*0.09)+H16</f>
        <v>1880.0289479999999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1914.5248919999999</v>
      </c>
      <c r="I9" s="40">
        <f>SUM(H16*0.08)+H16</f>
        <v>1862.780976</v>
      </c>
      <c r="J9" s="40">
        <f>SUM(H16*0.08)+H16</f>
        <v>1862.780976</v>
      </c>
      <c r="K9" s="9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1897.27692</v>
      </c>
      <c r="I10" s="40">
        <f>SUM(H16*0.07+H16)</f>
        <v>1845.5330039999999</v>
      </c>
      <c r="J10" s="40">
        <f>SUM(H16*0.07)+H16</f>
        <v>1845.5330039999999</v>
      </c>
      <c r="K10" s="9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1914.5248919999999</v>
      </c>
      <c r="I11" s="40">
        <f>SUM(H16*0.08)+H16</f>
        <v>1862.780976</v>
      </c>
      <c r="J11" s="40">
        <f>SUM(H16*0.08)+H16</f>
        <v>1862.780976</v>
      </c>
      <c r="K11" s="9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1914.5248919999999</v>
      </c>
      <c r="I12" s="40">
        <f>SUM(H16*0.08)+H16</f>
        <v>1862.780976</v>
      </c>
      <c r="J12" s="40">
        <f>SUM(H16*0.08)+H16</f>
        <v>1862.780976</v>
      </c>
      <c r="K12" s="9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1931.772864</v>
      </c>
      <c r="I13" s="40">
        <f>SUM(H16*0.09)+H16</f>
        <v>1880.0289479999999</v>
      </c>
      <c r="J13" s="40">
        <f>SUM(H16*0.09)+H16</f>
        <v>1880.0289479999999</v>
      </c>
      <c r="K13" s="9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1931.772864</v>
      </c>
      <c r="I14" s="40">
        <f>SUM(H16*0.09)+H16</f>
        <v>1880.0289479999999</v>
      </c>
      <c r="J14" s="40">
        <f>SUM(H16*0.09)+H16</f>
        <v>1880.0289479999999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SUM(INICIO!K29)</f>
        <v>2059.48036</v>
      </c>
      <c r="D16" s="43"/>
      <c r="E16" s="43"/>
      <c r="F16" s="10"/>
      <c r="G16" s="26" t="s">
        <v>5</v>
      </c>
      <c r="H16" s="42">
        <f>SUM(INICIO!Q29)</f>
        <v>1724.7972</v>
      </c>
      <c r="I16" s="43" t="s">
        <v>101</v>
      </c>
      <c r="J16" s="43" t="s">
        <v>303</v>
      </c>
      <c r="K16" s="9" t="s">
        <v>344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 t="s">
        <v>310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2049.0590735999999</v>
      </c>
      <c r="F18" s="10"/>
      <c r="G18" s="10"/>
      <c r="H18" s="19"/>
      <c r="I18" s="10" t="s">
        <v>7</v>
      </c>
      <c r="J18" s="10" t="s">
        <v>309</v>
      </c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2030.0863043999998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2049.0590735999999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1.3125960000000001</v>
      </c>
      <c r="I25" s="22">
        <f>SUM(H34*0.11)+H34</f>
        <v>1.278054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1.289568</v>
      </c>
      <c r="I26" s="22">
        <f>SUM(H34*0.09)+H34</f>
        <v>1.255026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1.278054</v>
      </c>
      <c r="I27" s="22">
        <f>SUM(H34*0.08)+H34</f>
        <v>1.243512</v>
      </c>
      <c r="J27" s="22">
        <f>SUM(H34*0.08)+H34</f>
        <v>1.243512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1.26654</v>
      </c>
      <c r="I28" s="22">
        <f>SUM(H34*0.07+H34)</f>
        <v>1.2319979999999999</v>
      </c>
      <c r="J28" s="22">
        <f>SUM(H34*0.07)+H34</f>
        <v>1.2319979999999999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1.278054</v>
      </c>
      <c r="I29" s="22">
        <f>SUM(H34*0.08)+H34</f>
        <v>1.243512</v>
      </c>
      <c r="J29" s="22">
        <f>SUM(H34*0.08)+H34</f>
        <v>1.243512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1.278054</v>
      </c>
      <c r="I30" s="22">
        <f>SUM(H34*0.08)+H34</f>
        <v>1.243512</v>
      </c>
      <c r="J30" s="22">
        <f>SUM(H34*0.08)+H34</f>
        <v>1.243512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1.289568</v>
      </c>
      <c r="I31" s="22">
        <f>SUM(H34*0.09)+H34</f>
        <v>1.255026</v>
      </c>
      <c r="J31" s="22">
        <f>SUM(H34*0.09)+H34</f>
        <v>1.255026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1.289568</v>
      </c>
      <c r="I32" s="22">
        <f>SUM(H34*0.09)+H34</f>
        <v>1.255026</v>
      </c>
      <c r="J32" s="22">
        <f>SUM(H34*0.09)+H34</f>
        <v>1.255026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SUM(INICIO!J29)</f>
        <v>1.3748199999999999</v>
      </c>
      <c r="D34" s="10"/>
      <c r="E34" s="10"/>
      <c r="F34" s="10"/>
      <c r="G34" s="26" t="s">
        <v>5</v>
      </c>
      <c r="H34" s="27">
        <f>SUM(INICIO!P29)</f>
        <v>1.1514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1.3678631999999999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1.3551978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1.3678631999999999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3"/>
  <sheetViews>
    <sheetView showGridLines="0" workbookViewId="0">
      <selection activeCell="K4" sqref="K4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PROPER(INICIO!D30)</f>
        <v>Talleres Navales/Burner/Eqa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SUM(INICIO!K30)</f>
        <v>2137.1965999999998</v>
      </c>
      <c r="D16" s="43"/>
      <c r="E16" s="43"/>
      <c r="F16" s="10"/>
      <c r="G16" s="26" t="s">
        <v>5</v>
      </c>
      <c r="H16" s="63">
        <f>SUM(INICIO!Q30)</f>
        <v>1844.3375999999998</v>
      </c>
      <c r="I16" s="64" t="s">
        <v>82</v>
      </c>
      <c r="J16" s="64">
        <v>2.0299999999999998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 t="s">
        <v>52</v>
      </c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SUM(INICIO!J30)</f>
        <v>1.4266999999999999</v>
      </c>
      <c r="D34" s="10"/>
      <c r="E34" s="10"/>
      <c r="F34" s="10"/>
      <c r="G34" s="26" t="s">
        <v>5</v>
      </c>
      <c r="H34" s="27">
        <f>SUM(INICIO!P30)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ht="15.75" thickBot="1" x14ac:dyDescent="0.3"/>
    <row r="41" spans="2:11" x14ac:dyDescent="0.25">
      <c r="B41" s="82"/>
      <c r="C41" s="83" t="s">
        <v>112</v>
      </c>
    </row>
    <row r="42" spans="2:11" ht="15.75" x14ac:dyDescent="0.25">
      <c r="B42" s="84" t="s">
        <v>113</v>
      </c>
      <c r="C42" s="86">
        <v>13.92</v>
      </c>
    </row>
    <row r="43" spans="2:11" ht="16.5" thickBot="1" x14ac:dyDescent="0.3">
      <c r="B43" s="85" t="s">
        <v>114</v>
      </c>
      <c r="C43" s="87">
        <v>7.96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PROPER(INICIO!D31)</f>
        <v>Provimar/Puertas/Campana/Multilift//Am Carrocerias/Megaces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45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45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45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45"/>
      <c r="G10" s="18" t="s">
        <v>4</v>
      </c>
      <c r="H10" s="40">
        <f>SUM(H16*0.11)+H16</f>
        <v>2047.2147359999999</v>
      </c>
      <c r="I10" s="40">
        <f>SUM(H16*0.08+H16)</f>
        <v>1991.8846079999998</v>
      </c>
      <c r="J10" s="40">
        <f>SUM(H16*0.08)+H16</f>
        <v>1991.8846079999998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45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45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SUM(INICIO!K31)</f>
        <v>2137.1965999999998</v>
      </c>
      <c r="D16" s="43"/>
      <c r="E16" s="43"/>
      <c r="F16" s="43"/>
      <c r="G16" s="26" t="s">
        <v>5</v>
      </c>
      <c r="H16" s="42">
        <f>SUM(INICIO!Q31)</f>
        <v>1844.3375999999998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2191.0730687999999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SUM(H34*0.11)+H34</f>
        <v>1.3666319999999998</v>
      </c>
      <c r="I28" s="22">
        <f>SUM(H34*0.08+H34)</f>
        <v>1.3296959999999998</v>
      </c>
      <c r="J28" s="22">
        <f>SUM(H34*0.08)+H34</f>
        <v>1.3296959999999998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SUM(INICIO!J31)</f>
        <v>1.4266999999999999</v>
      </c>
      <c r="D34" s="10"/>
      <c r="E34" s="10"/>
      <c r="F34" s="10"/>
      <c r="G34" s="26" t="s">
        <v>5</v>
      </c>
      <c r="H34" s="27">
        <f>SUM(INICIO!P31)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1.4626655999999998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0"/>
  <sheetViews>
    <sheetView showGridLines="0" workbookViewId="0"/>
  </sheetViews>
  <sheetFormatPr baseColWidth="10" defaultRowHeight="15" x14ac:dyDescent="0.25"/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9.5" thickBot="1" x14ac:dyDescent="0.3">
      <c r="A2" s="1"/>
      <c r="B2" s="11" t="s">
        <v>15</v>
      </c>
      <c r="C2" s="1"/>
      <c r="D2" s="263" t="str">
        <f>PROPER(INICIO!D32)</f>
        <v>Barrera/Aceba/Diegez/Fitnes</v>
      </c>
      <c r="E2" s="264"/>
      <c r="F2" s="264"/>
      <c r="G2" s="265"/>
      <c r="H2" s="1"/>
      <c r="I2" s="1"/>
      <c r="J2" s="1"/>
      <c r="K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2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2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2024.6728320000002</v>
      </c>
      <c r="I7" s="40">
        <f>SUM(H16*0.11)+H16</f>
        <v>1971.3919680000001</v>
      </c>
      <c r="J7" s="40" t="s">
        <v>2</v>
      </c>
      <c r="K7" s="9"/>
    </row>
    <row r="8" spans="1:12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1989.1522560000001</v>
      </c>
      <c r="I8" s="40">
        <f>SUM(H16*0.09)+H16</f>
        <v>1935.871392</v>
      </c>
      <c r="J8" s="40" t="s">
        <v>2</v>
      </c>
      <c r="K8" s="9"/>
    </row>
    <row r="9" spans="1:12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1971.3919680000001</v>
      </c>
      <c r="I9" s="40">
        <f>SUM(H16*0.08)+H16</f>
        <v>1918.1111040000001</v>
      </c>
      <c r="J9" s="40">
        <f>SUM(H16*0.08)+H16</f>
        <v>1918.1111040000001</v>
      </c>
      <c r="K9" s="9"/>
    </row>
    <row r="10" spans="1:12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1953.63168</v>
      </c>
      <c r="I10" s="40">
        <f>SUM(H16*0.07+H16)</f>
        <v>1900.3508160000001</v>
      </c>
      <c r="J10" s="40">
        <f>SUM(H16*0.07)+H16</f>
        <v>1900.3508160000001</v>
      </c>
      <c r="K10" s="9"/>
    </row>
    <row r="11" spans="1:12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1971.3919680000001</v>
      </c>
      <c r="I11" s="40">
        <f>SUM(H16*0.08)+H16</f>
        <v>1918.1111040000001</v>
      </c>
      <c r="J11" s="40">
        <f>SUM(H16*0.08)+H16</f>
        <v>1918.1111040000001</v>
      </c>
      <c r="K11" s="9"/>
    </row>
    <row r="12" spans="1:12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1971.3919680000001</v>
      </c>
      <c r="I12" s="40">
        <f>SUM(H16*0.08)+H16</f>
        <v>1918.1111040000001</v>
      </c>
      <c r="J12" s="40">
        <f>SUM(H16*0.08)+H16</f>
        <v>1918.1111040000001</v>
      </c>
      <c r="K12" s="9"/>
    </row>
    <row r="13" spans="1:12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1989.1522560000001</v>
      </c>
      <c r="I13" s="40">
        <f>SUM(H16*0.09)+H16</f>
        <v>1935.871392</v>
      </c>
      <c r="J13" s="40">
        <f>SUM(H16*0.1)+H16</f>
        <v>1953.63168</v>
      </c>
      <c r="K13" s="9"/>
    </row>
    <row r="14" spans="1:12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1989.1522560000001</v>
      </c>
      <c r="I14" s="40">
        <f>SUM(H16*0.09)+H16</f>
        <v>1935.871392</v>
      </c>
      <c r="J14" s="40">
        <f>SUM(H16*0.1)+H16</f>
        <v>1953.63168</v>
      </c>
      <c r="K14" s="9"/>
    </row>
    <row r="15" spans="1:12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2" ht="16.5" thickBot="1" x14ac:dyDescent="0.3">
      <c r="A16" s="1"/>
      <c r="B16" s="14" t="s">
        <v>5</v>
      </c>
      <c r="C16" s="41">
        <f>SUM(INICIO!K32)</f>
        <v>2098.3384799999999</v>
      </c>
      <c r="D16" s="43"/>
      <c r="E16" s="43"/>
      <c r="F16" s="10"/>
      <c r="G16" s="26" t="s">
        <v>5</v>
      </c>
      <c r="H16" s="42">
        <f>SUM(INICIO!Q32)</f>
        <v>1776.0288</v>
      </c>
      <c r="I16" s="43"/>
      <c r="J16" s="227" t="s">
        <v>347</v>
      </c>
      <c r="K16" s="9"/>
      <c r="L16" t="s">
        <v>313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 t="s">
        <v>232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2109.9222144</v>
      </c>
      <c r="F18" s="10"/>
      <c r="G18" s="10"/>
      <c r="H18" s="46"/>
      <c r="I18" s="43" t="s">
        <v>7</v>
      </c>
      <c r="J18" s="43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2090.3858976000001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2109.9222144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1.3515839999999999</v>
      </c>
      <c r="I25" s="22">
        <f>SUM(H34*0.11)+H34</f>
        <v>1.3160160000000001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1.3278719999999999</v>
      </c>
      <c r="I26" s="22">
        <f>SUM(H34*0.09)+H34</f>
        <v>1.2923039999999999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1.3160160000000001</v>
      </c>
      <c r="I27" s="22">
        <f>SUM(H34*0.08)+H34</f>
        <v>1.280448</v>
      </c>
      <c r="J27" s="22">
        <f>SUM(H34*0.08)+H34</f>
        <v>1.280448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1.30416</v>
      </c>
      <c r="I28" s="22">
        <f>SUM(H34*0.07+H34)</f>
        <v>1.2685919999999999</v>
      </c>
      <c r="J28" s="22">
        <f>SUM(H34*0.07)+H34</f>
        <v>1.2685919999999999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1.3160160000000001</v>
      </c>
      <c r="I29" s="22">
        <f>SUM(H34*0.08)+H34</f>
        <v>1.280448</v>
      </c>
      <c r="J29" s="22">
        <f>SUM(H34*0.08)+H34</f>
        <v>1.280448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1.3160160000000001</v>
      </c>
      <c r="I30" s="22">
        <f>SUM(H34*0.08)+H34</f>
        <v>1.280448</v>
      </c>
      <c r="J30" s="22">
        <f>SUM(H34*0.08)+H34</f>
        <v>1.280448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1.3278719999999999</v>
      </c>
      <c r="I31" s="22">
        <f>SUM(H34*0.09)+H34</f>
        <v>1.2923039999999999</v>
      </c>
      <c r="J31" s="22">
        <f>SUM(H34*0.1)+H34</f>
        <v>1.30416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1.3278719999999999</v>
      </c>
      <c r="I32" s="22">
        <f>SUM(H34*0.09)+H34</f>
        <v>1.2923039999999999</v>
      </c>
      <c r="J32" s="22">
        <f>SUM(H34*0.1)+H34</f>
        <v>1.30416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SUM(INICIO!J32)</f>
        <v>1.40076</v>
      </c>
      <c r="D34" s="10"/>
      <c r="E34" s="10"/>
      <c r="F34" s="10"/>
      <c r="G34" s="26" t="s">
        <v>5</v>
      </c>
      <c r="H34" s="27">
        <f>SUM(INICIO!P32)</f>
        <v>1.1856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1.4084928000000001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1.3954511999999999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1.4084928000000001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PROPER(INICIO!D33)</f>
        <v>Covic/Acerotec/Frachia/Beta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44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44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44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44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44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SUM(INICIO!K33)</f>
        <v>2176.0547200000001</v>
      </c>
      <c r="D16" s="43"/>
      <c r="E16" s="43"/>
      <c r="F16" s="10"/>
      <c r="G16" s="26" t="s">
        <v>5</v>
      </c>
      <c r="H16" s="42">
        <f>SUM(INICIO!Q33)</f>
        <v>1861.4147999999998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SUM(INICIO!J33)</f>
        <v>1.4526399999999999</v>
      </c>
      <c r="D34" s="10"/>
      <c r="E34" s="10"/>
      <c r="F34" s="10"/>
      <c r="G34" s="26" t="s">
        <v>5</v>
      </c>
      <c r="H34" s="27">
        <f>SUM(INICIO!P33)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PROPER(INICIO!D34)</f>
        <v>Cromwell/Met Guillon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45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45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45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45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45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45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SUM(INICIO!K34)</f>
        <v>2176.0547200000001</v>
      </c>
      <c r="D16" s="43"/>
      <c r="E16" s="43"/>
      <c r="F16" s="43"/>
      <c r="G16" s="26" t="s">
        <v>5</v>
      </c>
      <c r="H16" s="42">
        <f>SUM(INICIO!Q34)</f>
        <v>1861.4147999999998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40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40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40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43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SUM(INICIO!J34)</f>
        <v>1.4526399999999999</v>
      </c>
      <c r="D34" s="10"/>
      <c r="E34" s="10"/>
      <c r="F34" s="10"/>
      <c r="G34" s="26" t="s">
        <v>5</v>
      </c>
      <c r="H34" s="27">
        <f>SUM(INICIO!P34)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PROPER(INICIO!D35)</f>
        <v>Rodel/Metic Design/Servitec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2515.4803981999999</v>
      </c>
      <c r="D6" s="40">
        <f>SUM(C16*0.04)+C16</f>
        <v>2444.9529103999998</v>
      </c>
      <c r="E6" s="40">
        <f>SUM(C16*0.04)+C16</f>
        <v>2444.9529103999998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2515.4803981999999</v>
      </c>
      <c r="D7" s="40">
        <f>SUM(C16*0.04)+C16</f>
        <v>2444.9529103999998</v>
      </c>
      <c r="E7" s="40">
        <f>SUM(C16*0.04)+C16</f>
        <v>2444.9529103999998</v>
      </c>
      <c r="F7" s="16"/>
      <c r="G7" s="18">
        <v>2</v>
      </c>
      <c r="H7" s="40">
        <f>SUM(H16*0.14)+H16</f>
        <v>2297.2249440000001</v>
      </c>
      <c r="I7" s="40">
        <f>SUM(H16*0.11)+H16</f>
        <v>2236.7716559999999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2538.9895608000002</v>
      </c>
      <c r="D8" s="40">
        <f>SUM(C16*0.05)+C16</f>
        <v>2468.4620730000001</v>
      </c>
      <c r="E8" s="40">
        <f>SUM(C16*0.05)+C16</f>
        <v>2468.4620730000001</v>
      </c>
      <c r="F8" s="16"/>
      <c r="G8" s="18">
        <v>2.5</v>
      </c>
      <c r="H8" s="40">
        <f>SUM(H16*0.12)+H16</f>
        <v>2256.9227519999999</v>
      </c>
      <c r="I8" s="40">
        <f>SUM(H16*0.09)+H16</f>
        <v>2196.4694639999998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2586.0078859999999</v>
      </c>
      <c r="D9" s="40">
        <f>SUM(C16*0.07)+C16</f>
        <v>2515.4803981999999</v>
      </c>
      <c r="E9" s="40">
        <f>SUM(C16*0.07)+C16</f>
        <v>2515.4803981999999</v>
      </c>
      <c r="F9" s="16"/>
      <c r="G9" s="18">
        <v>3.17</v>
      </c>
      <c r="H9" s="40">
        <f>SUM(H16*0.11)+H16</f>
        <v>2236.7716559999999</v>
      </c>
      <c r="I9" s="40">
        <f>SUM(H16*0.08)+H16</f>
        <v>2176.3183680000002</v>
      </c>
      <c r="J9" s="40">
        <f>SUM(H16*0.08)+H16</f>
        <v>2176.3183680000002</v>
      </c>
      <c r="K9" s="44"/>
    </row>
    <row r="10" spans="1:11" ht="15.75" x14ac:dyDescent="0.25">
      <c r="A10" s="1"/>
      <c r="B10" s="17">
        <v>0.65</v>
      </c>
      <c r="C10" s="40">
        <f>SUM(C16*0.12)+C16</f>
        <v>2633.0262112</v>
      </c>
      <c r="D10" s="40">
        <f>SUM(C16*0.09)+C16</f>
        <v>2562.4987234</v>
      </c>
      <c r="E10" s="40" t="s">
        <v>2</v>
      </c>
      <c r="F10" s="16"/>
      <c r="G10" s="18" t="s">
        <v>4</v>
      </c>
      <c r="H10" s="40">
        <f>SUM(H16*0.1)+H16</f>
        <v>2216.6205599999998</v>
      </c>
      <c r="I10" s="40">
        <f>SUM(H16*0.07+H16)</f>
        <v>2156.1672720000001</v>
      </c>
      <c r="J10" s="40">
        <f>SUM(H16*0.07)+H16</f>
        <v>2156.1672720000001</v>
      </c>
      <c r="K10" s="44"/>
    </row>
    <row r="11" spans="1:11" ht="15.75" x14ac:dyDescent="0.25">
      <c r="A11" s="1"/>
      <c r="B11" s="17">
        <v>24</v>
      </c>
      <c r="C11" s="40">
        <f>SUM(C16*0.16)+C16</f>
        <v>2727.0628615999999</v>
      </c>
      <c r="D11" s="40">
        <f>SUM(C16*0.13)+C16</f>
        <v>2656.5353737999999</v>
      </c>
      <c r="E11" s="40" t="s">
        <v>2</v>
      </c>
      <c r="F11" s="16"/>
      <c r="G11" s="18">
        <v>6.35</v>
      </c>
      <c r="H11" s="40">
        <f>SUM(H16*0.11)+H16</f>
        <v>2236.7716559999999</v>
      </c>
      <c r="I11" s="40">
        <f>SUM(H16*0.08)+H16</f>
        <v>2176.3183680000002</v>
      </c>
      <c r="J11" s="40">
        <f>SUM(H16*0.08)+H16</f>
        <v>2176.3183680000002</v>
      </c>
      <c r="K11" s="44"/>
    </row>
    <row r="12" spans="1:11" ht="15.75" x14ac:dyDescent="0.25">
      <c r="A12" s="1"/>
      <c r="B12" s="17">
        <v>26</v>
      </c>
      <c r="C12" s="40">
        <f>SUM(C16*0.2)+C16</f>
        <v>2821.0995119999998</v>
      </c>
      <c r="D12" s="40">
        <f>SUM(C16*0.15)+C16</f>
        <v>2703.5536990000001</v>
      </c>
      <c r="E12" s="40" t="s">
        <v>2</v>
      </c>
      <c r="F12" s="16"/>
      <c r="G12" s="18">
        <v>8</v>
      </c>
      <c r="H12" s="40">
        <f>SUM(H16*0.11)+H16</f>
        <v>2236.7716559999999</v>
      </c>
      <c r="I12" s="40">
        <f>SUM(H16*0.08)+H16</f>
        <v>2176.3183680000002</v>
      </c>
      <c r="J12" s="40">
        <f>SUM(H16*0.08)+H16</f>
        <v>2176.3183680000002</v>
      </c>
      <c r="K12" s="44"/>
    </row>
    <row r="13" spans="1:11" ht="15.75" x14ac:dyDescent="0.25">
      <c r="A13" s="1"/>
      <c r="B13" s="17">
        <v>27</v>
      </c>
      <c r="C13" s="40">
        <f>SUM(C16*0.26)+C16</f>
        <v>2962.1544875999998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2256.9227519999999</v>
      </c>
      <c r="I13" s="40">
        <f>SUM(H16*0.09)+H16</f>
        <v>2196.4694639999998</v>
      </c>
      <c r="J13" s="40">
        <f>SUM(H16*0.1)+H16</f>
        <v>2216.6205599999998</v>
      </c>
      <c r="K13" s="44"/>
    </row>
    <row r="14" spans="1:11" ht="15.75" x14ac:dyDescent="0.25">
      <c r="A14" s="1"/>
      <c r="B14" s="17">
        <v>30</v>
      </c>
      <c r="C14" s="40">
        <f>SUM(C16*0.32)+C16</f>
        <v>3103.2094631999998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2256.9227519999999</v>
      </c>
      <c r="I14" s="40">
        <f>SUM(H16*0.09)+H16</f>
        <v>2196.4694639999998</v>
      </c>
      <c r="J14" s="40">
        <f>SUM(H16*0.1)+H16</f>
        <v>2216.6205599999998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SUM(INICIO!K35)</f>
        <v>2350.91626</v>
      </c>
      <c r="D16" s="43"/>
      <c r="E16" s="43"/>
      <c r="F16" s="10"/>
      <c r="G16" s="26" t="s">
        <v>5</v>
      </c>
      <c r="H16" s="42">
        <f>SUM(INICIO!Q35)</f>
        <v>2015.1096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2393.9502048000004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2371.7839991999999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2393.9502048000004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1.6792259</v>
      </c>
      <c r="D24" s="22">
        <f>SUM(C34*0.04)+C34</f>
        <v>1.6321447999999998</v>
      </c>
      <c r="E24" s="22">
        <f>SUM(C34*0.04)+C34</f>
        <v>1.6321447999999998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1.6792259</v>
      </c>
      <c r="D25" s="22">
        <f>SUM(C34*0.04)+C34</f>
        <v>1.6321447999999998</v>
      </c>
      <c r="E25" s="22">
        <f>SUM(C34*0.04)+C34</f>
        <v>1.6321447999999998</v>
      </c>
      <c r="F25" s="16"/>
      <c r="G25" s="18">
        <v>2</v>
      </c>
      <c r="H25" s="22">
        <f>SUM(H34*0.14)+H34</f>
        <v>1.533528</v>
      </c>
      <c r="I25" s="22">
        <f>SUM(H34*0.11)+H34</f>
        <v>1.4931719999999999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1.6949196</v>
      </c>
      <c r="D26" s="22">
        <f>SUM(C34*0.05)+C34</f>
        <v>1.6478385</v>
      </c>
      <c r="E26" s="22">
        <f>SUM(C34*0.05)+C34</f>
        <v>1.6478385</v>
      </c>
      <c r="F26" s="16"/>
      <c r="G26" s="18">
        <v>2.5</v>
      </c>
      <c r="H26" s="22">
        <f>SUM(H34*0.12)+H34</f>
        <v>1.506624</v>
      </c>
      <c r="I26" s="22">
        <f>SUM(H34*0.09)+H34</f>
        <v>1.4662679999999999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1.7263069999999998</v>
      </c>
      <c r="D27" s="22">
        <f>SUM(C34*0.07)+C34</f>
        <v>1.6792259</v>
      </c>
      <c r="E27" s="22">
        <f>SUM(C34*0.07)+C34</f>
        <v>1.6792259</v>
      </c>
      <c r="F27" s="16"/>
      <c r="G27" s="18">
        <v>3.17</v>
      </c>
      <c r="H27" s="22">
        <f>SUM(H34*0.11)+H34</f>
        <v>1.4931719999999999</v>
      </c>
      <c r="I27" s="22">
        <f>SUM(H34*0.08)+H34</f>
        <v>1.4528159999999999</v>
      </c>
      <c r="J27" s="22">
        <f>SUM(H34*0.08)+H34</f>
        <v>1.4528159999999999</v>
      </c>
      <c r="K27" s="9"/>
    </row>
    <row r="28" spans="1:11" s="1" customFormat="1" ht="15.75" x14ac:dyDescent="0.25">
      <c r="B28" s="17">
        <v>0.65</v>
      </c>
      <c r="C28" s="22">
        <f>SUM(C34*0.12)+C34</f>
        <v>1.7576943999999999</v>
      </c>
      <c r="D28" s="22">
        <f>SUM(C34*0.09)+C34</f>
        <v>1.7106132999999999</v>
      </c>
      <c r="E28" s="23" t="s">
        <v>2</v>
      </c>
      <c r="F28" s="16"/>
      <c r="G28" s="18" t="s">
        <v>4</v>
      </c>
      <c r="H28" s="22">
        <f>SUM(H34*0.1)+H34</f>
        <v>1.4797199999999999</v>
      </c>
      <c r="I28" s="22">
        <f>SUM(H34*0.07+H34)</f>
        <v>1.4393639999999999</v>
      </c>
      <c r="J28" s="22">
        <f>SUM(H34*0.07)+H34</f>
        <v>1.4393639999999999</v>
      </c>
      <c r="K28" s="9"/>
    </row>
    <row r="29" spans="1:11" s="1" customFormat="1" ht="15.75" x14ac:dyDescent="0.25">
      <c r="B29" s="17">
        <v>24</v>
      </c>
      <c r="C29" s="22">
        <f>SUM(C34*0.16)+C34</f>
        <v>1.8204691999999998</v>
      </c>
      <c r="D29" s="22">
        <f>SUM(C34*0.13)+C34</f>
        <v>1.7733881</v>
      </c>
      <c r="E29" s="23" t="s">
        <v>2</v>
      </c>
      <c r="F29" s="16"/>
      <c r="G29" s="18">
        <v>6.35</v>
      </c>
      <c r="H29" s="22">
        <f>SUM(H34*0.11)+H34</f>
        <v>1.4931719999999999</v>
      </c>
      <c r="I29" s="22">
        <f>SUM(H34*0.08)+H34</f>
        <v>1.4528159999999999</v>
      </c>
      <c r="J29" s="22">
        <f>SUM(H34*0.08)+H34</f>
        <v>1.4528159999999999</v>
      </c>
      <c r="K29" s="9"/>
    </row>
    <row r="30" spans="1:11" s="1" customFormat="1" ht="15.75" x14ac:dyDescent="0.25">
      <c r="B30" s="17">
        <v>26</v>
      </c>
      <c r="C30" s="22">
        <f>SUM(C34*0.2)+C34</f>
        <v>1.8832439999999999</v>
      </c>
      <c r="D30" s="22">
        <f>SUM(C34*0.15)+C34</f>
        <v>1.8047754999999999</v>
      </c>
      <c r="E30" s="23" t="s">
        <v>2</v>
      </c>
      <c r="F30" s="16"/>
      <c r="G30" s="18">
        <v>8</v>
      </c>
      <c r="H30" s="22">
        <f>SUM(H34*0.11)+H34</f>
        <v>1.4931719999999999</v>
      </c>
      <c r="I30" s="22">
        <f>SUM(H34*0.08)+H34</f>
        <v>1.4528159999999999</v>
      </c>
      <c r="J30" s="22">
        <f>SUM(H34*0.08)+H34</f>
        <v>1.4528159999999999</v>
      </c>
      <c r="K30" s="9"/>
    </row>
    <row r="31" spans="1:11" s="1" customFormat="1" ht="15.75" x14ac:dyDescent="0.25">
      <c r="B31" s="17">
        <v>27</v>
      </c>
      <c r="C31" s="22">
        <f>SUM(C34*0.26)+C34</f>
        <v>1.9774061999999999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1.506624</v>
      </c>
      <c r="I31" s="22">
        <f>SUM(H34*0.09)+H34</f>
        <v>1.4662679999999999</v>
      </c>
      <c r="J31" s="22">
        <f>SUM(H34*0.1)+H34</f>
        <v>1.4797199999999999</v>
      </c>
      <c r="K31" s="9"/>
    </row>
    <row r="32" spans="1:11" s="1" customFormat="1" ht="15.75" x14ac:dyDescent="0.25">
      <c r="B32" s="17">
        <v>30</v>
      </c>
      <c r="C32" s="22">
        <f>SUM(C34*0.32)+C34</f>
        <v>2.0715683999999999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1.506624</v>
      </c>
      <c r="I32" s="22">
        <f>SUM(H34*0.09)+H34</f>
        <v>1.4662679999999999</v>
      </c>
      <c r="J32" s="22">
        <f>SUM(H34*0.1)+H34</f>
        <v>1.4797199999999999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SUM(INICIO!J35)</f>
        <v>1.5693699999999999</v>
      </c>
      <c r="D34" s="10"/>
      <c r="E34" s="10"/>
      <c r="F34" s="10"/>
      <c r="G34" s="26" t="s">
        <v>5</v>
      </c>
      <c r="H34" s="27">
        <f>SUM(INICIO!P35)</f>
        <v>1.3452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1.5980975999999998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1.5833003999999999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1.5980975999999998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PROPER(INICIO!D36)</f>
        <v>Obregon/Peope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SUM(H16*0.09)+H16</f>
        <v>1954.4855399999997</v>
      </c>
      <c r="K13" s="44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SUM(H16*0.09)+H16</f>
        <v>1954.4855399999997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SUM(INICIO!K36)</f>
        <v>2098.3384799999999</v>
      </c>
      <c r="D16" s="43"/>
      <c r="E16" s="43"/>
      <c r="F16" s="10"/>
      <c r="G16" s="26" t="s">
        <v>5</v>
      </c>
      <c r="H16" s="42">
        <f>SUM(INICIO!Q36)</f>
        <v>1793.1059999999998</v>
      </c>
      <c r="I16" s="43"/>
      <c r="J16" s="43" t="s">
        <v>291</v>
      </c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 t="s">
        <v>52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SUM(H34*0.09)+H34</f>
        <v>1.3047299999999997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SUM(H34*0.09)+H34</f>
        <v>1.3047299999999997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SUM(INICIO!J36)</f>
        <v>1.40076</v>
      </c>
      <c r="D34" s="10"/>
      <c r="E34" s="10"/>
      <c r="F34" s="10"/>
      <c r="G34" s="26" t="s">
        <v>5</v>
      </c>
      <c r="H34" s="27">
        <f>SUM(INICIO!P36)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PROPER(INICIO!D37)</f>
        <v>Carpintero/Oximetal/Met Gh/Rotofrance/Calden/Brauer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1966.268808</v>
      </c>
      <c r="I7" s="40">
        <f>SUM(H16*0.11)+H16</f>
        <v>1914.5248919999999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1931.772864</v>
      </c>
      <c r="I8" s="40">
        <f>SUM(H16*0.09)+H16</f>
        <v>1880.0289479999999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1914.5248919999999</v>
      </c>
      <c r="I9" s="40">
        <f>SUM(H16*0.08)+H16</f>
        <v>1862.780976</v>
      </c>
      <c r="J9" s="40">
        <f>SUM(H16*0.08)+H16</f>
        <v>1862.780976</v>
      </c>
      <c r="K9" s="44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1897.27692</v>
      </c>
      <c r="I10" s="40">
        <f>SUM(H16*0.07+H16)</f>
        <v>1845.5330039999999</v>
      </c>
      <c r="J10" s="40">
        <f>SUM(H16*0.07)+H16</f>
        <v>1845.5330039999999</v>
      </c>
      <c r="K10" s="44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1914.5248919999999</v>
      </c>
      <c r="I11" s="40">
        <f>SUM(H16*0.08)+H16</f>
        <v>1862.780976</v>
      </c>
      <c r="J11" s="40">
        <f>SUM(H16*0.08)+H16</f>
        <v>1862.780976</v>
      </c>
      <c r="K11" s="44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1914.5248919999999</v>
      </c>
      <c r="I12" s="40">
        <f>SUM(H16*0.08)+H16</f>
        <v>1862.780976</v>
      </c>
      <c r="J12" s="40">
        <f>SUM(H16*0.08)+H16</f>
        <v>1862.780976</v>
      </c>
      <c r="K12" s="44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1931.772864</v>
      </c>
      <c r="I13" s="40">
        <f>SUM(H16*0.09)+H16</f>
        <v>1880.0289479999999</v>
      </c>
      <c r="J13" s="40">
        <f>SUM(H16*0.1)+H16</f>
        <v>1897.27692</v>
      </c>
      <c r="K13" s="44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1931.772864</v>
      </c>
      <c r="I14" s="40">
        <f>SUM(H16*0.09)+H16</f>
        <v>1880.0289479999999</v>
      </c>
      <c r="J14" s="40">
        <f>SUM(H16*0.1)+H16</f>
        <v>1897.27692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SUM(INICIO!K37)</f>
        <v>2059.48036</v>
      </c>
      <c r="D16" s="43"/>
      <c r="E16" s="43"/>
      <c r="F16" s="10"/>
      <c r="G16" s="26" t="s">
        <v>5</v>
      </c>
      <c r="H16" s="42">
        <f>SUM(INICIO!Q37)</f>
        <v>1724.7972</v>
      </c>
      <c r="I16" s="43" t="s">
        <v>52</v>
      </c>
      <c r="J16" s="43" t="s">
        <v>52</v>
      </c>
      <c r="K16" s="44" t="s">
        <v>252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298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2049.0590735999999</v>
      </c>
      <c r="F18" s="10"/>
      <c r="G18" s="10"/>
      <c r="H18" s="19"/>
      <c r="I18" s="10" t="s">
        <v>7</v>
      </c>
      <c r="J18" s="10" t="s">
        <v>306</v>
      </c>
      <c r="K18" s="9" t="s">
        <v>361</v>
      </c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2030.0863043999998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2049.0590735999999</v>
      </c>
      <c r="F20" s="10"/>
      <c r="G20" s="10"/>
      <c r="H20" s="21"/>
      <c r="I20" s="10" t="s">
        <v>9</v>
      </c>
      <c r="J20" s="10"/>
      <c r="K20" s="9" t="s">
        <v>52</v>
      </c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1.3125960000000001</v>
      </c>
      <c r="I25" s="22">
        <f>SUM(H34*0.11)+H34</f>
        <v>1.278054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1.289568</v>
      </c>
      <c r="I26" s="22">
        <f>SUM(H34*0.09)+H34</f>
        <v>1.255026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1.278054</v>
      </c>
      <c r="I27" s="22">
        <f>SUM(H34*0.08)+H34</f>
        <v>1.243512</v>
      </c>
      <c r="J27" s="22">
        <f>SUM(H34*0.08)+H34</f>
        <v>1.243512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1.26654</v>
      </c>
      <c r="I28" s="22">
        <f>SUM(H34*0.07+H34)</f>
        <v>1.2319979999999999</v>
      </c>
      <c r="J28" s="22">
        <f>SUM(H34*0.07)+H34</f>
        <v>1.2319979999999999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1.278054</v>
      </c>
      <c r="I29" s="22">
        <f>SUM(H34*0.08)+H34</f>
        <v>1.243512</v>
      </c>
      <c r="J29" s="22">
        <f>SUM(H34*0.08)+H34</f>
        <v>1.243512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1.278054</v>
      </c>
      <c r="I30" s="22">
        <f>SUM(H34*0.08)+H34</f>
        <v>1.243512</v>
      </c>
      <c r="J30" s="22">
        <f>SUM(H34*0.08)+H34</f>
        <v>1.243512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1.289568</v>
      </c>
      <c r="I31" s="22">
        <f>SUM(H34*0.09)+H34</f>
        <v>1.255026</v>
      </c>
      <c r="J31" s="22">
        <f>SUM(H34*0.1)+H34</f>
        <v>1.26654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1.289568</v>
      </c>
      <c r="I32" s="22">
        <f>SUM(H34*0.09)+H34</f>
        <v>1.255026</v>
      </c>
      <c r="J32" s="22">
        <f>SUM(H34*0.1)+H34</f>
        <v>1.26654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SUM(INICIO!J37)</f>
        <v>1.3748199999999999</v>
      </c>
      <c r="D34" s="10"/>
      <c r="E34" s="10"/>
      <c r="F34" s="10"/>
      <c r="G34" s="26" t="s">
        <v>5</v>
      </c>
      <c r="H34" s="27">
        <f>SUM(INICIO!P37)</f>
        <v>1.1514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1.3678631999999999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1.3551978</v>
      </c>
      <c r="F37" s="10"/>
      <c r="G37" s="10"/>
      <c r="H37" s="20"/>
      <c r="I37" s="10" t="s">
        <v>8</v>
      </c>
      <c r="J37" s="10" t="s">
        <v>52</v>
      </c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1.3678631999999999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PROPER(INICIO!D38)</f>
        <v>Hiergath/Galarza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44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44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44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44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44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SUM(INICIO!K38)</f>
        <v>2137.1965999999998</v>
      </c>
      <c r="D16" s="43"/>
      <c r="E16" s="43"/>
      <c r="F16" s="10"/>
      <c r="G16" s="26" t="s">
        <v>5</v>
      </c>
      <c r="H16" s="42">
        <f>SUM(INICIO!Q38)</f>
        <v>1861.4147999999998</v>
      </c>
      <c r="I16" s="43"/>
      <c r="J16" s="43"/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43"/>
      <c r="I17" s="43"/>
      <c r="J17" s="43"/>
      <c r="K17" s="44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SUM(INICIO!J38)</f>
        <v>1.4266999999999999</v>
      </c>
      <c r="D34" s="10"/>
      <c r="E34" s="10"/>
      <c r="F34" s="10"/>
      <c r="G34" s="26" t="s">
        <v>5</v>
      </c>
      <c r="H34" s="27">
        <f>SUM(INICIO!P38)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PROPER(INICIO!D39)</f>
        <v>Sarro/Lumac/Rimauro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2141.4808800000001</v>
      </c>
      <c r="I7" s="40">
        <f>SUM(H16*0.11)+H16</f>
        <v>2085.1261199999999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2103.91104</v>
      </c>
      <c r="I8" s="40">
        <f>SUM(H16*0.09)+H16</f>
        <v>2047.55628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2085.1261199999999</v>
      </c>
      <c r="I9" s="40">
        <f>SUM(H16*0.08)+H16</f>
        <v>2028.77136</v>
      </c>
      <c r="J9" s="40">
        <f>SUM(H16*0.08)+H16</f>
        <v>2028.77136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2066.3411999999998</v>
      </c>
      <c r="I10" s="40">
        <f>SUM(H16*0.07+H16)</f>
        <v>2009.9864399999999</v>
      </c>
      <c r="J10" s="40">
        <f>SUM(H16*0.07)+H16</f>
        <v>2009.9864399999999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2085.1261199999999</v>
      </c>
      <c r="I11" s="40">
        <f>SUM(H16*0.08)+H16</f>
        <v>2028.77136</v>
      </c>
      <c r="J11" s="40">
        <f>SUM(H16*0.08)+H16</f>
        <v>2028.77136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2085.1261199999999</v>
      </c>
      <c r="I12" s="40">
        <f>SUM(H16*0.08)+H16</f>
        <v>2028.77136</v>
      </c>
      <c r="J12" s="40">
        <f>SUM(H16*0.08)+H16</f>
        <v>2028.77136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2103.91104</v>
      </c>
      <c r="I13" s="40">
        <f>SUM(H16*0.09)+H16</f>
        <v>2047.55628</v>
      </c>
      <c r="J13" s="40">
        <f>SUM(H16*0.1)+H16</f>
        <v>2066.3411999999998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2103.91104</v>
      </c>
      <c r="I14" s="40">
        <f>SUM(H16*0.09)+H16</f>
        <v>2047.55628</v>
      </c>
      <c r="J14" s="40">
        <f>SUM(H16*0.1)+H16</f>
        <v>2066.3411999999998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SUM(INICIO!K39)</f>
        <v>2176.0547200000001</v>
      </c>
      <c r="D16" s="43"/>
      <c r="E16" s="43"/>
      <c r="F16" s="10"/>
      <c r="G16" s="26" t="s">
        <v>5</v>
      </c>
      <c r="H16" s="42">
        <f>SUM(INICIO!Q39)</f>
        <v>1878.492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43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2231.6484959999998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2210.9850839999999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2231.6484959999998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1.4295599999999999</v>
      </c>
      <c r="I25" s="22">
        <f>SUM(H34*0.11)+H34</f>
        <v>1.39194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1.40448</v>
      </c>
      <c r="I26" s="22">
        <f>SUM(H34*0.09)+H34</f>
        <v>1.36686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1.39194</v>
      </c>
      <c r="I27" s="22">
        <f>SUM(H34*0.08)+H34</f>
        <v>1.35432</v>
      </c>
      <c r="J27" s="22">
        <f>SUM(H34*0.08)+H34</f>
        <v>1.35432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1.3794</v>
      </c>
      <c r="I28" s="22">
        <f>SUM(H34*0.07+H34)</f>
        <v>1.34178</v>
      </c>
      <c r="J28" s="22">
        <f>SUM(H34*0.07)+H34</f>
        <v>1.34178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1.39194</v>
      </c>
      <c r="I29" s="22">
        <f>SUM(H34*0.08)+H34</f>
        <v>1.35432</v>
      </c>
      <c r="J29" s="22">
        <f>SUM(H34*0.08)+H34</f>
        <v>1.35432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1.39194</v>
      </c>
      <c r="I30" s="22">
        <f>SUM(H34*0.08)+H34</f>
        <v>1.35432</v>
      </c>
      <c r="J30" s="22">
        <f>SUM(H34*0.08)+H34</f>
        <v>1.35432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1.40448</v>
      </c>
      <c r="I31" s="22">
        <f>SUM(H34*0.09)+H34</f>
        <v>1.36686</v>
      </c>
      <c r="J31" s="22">
        <f>SUM(H34*0.1)+H34</f>
        <v>1.3794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1.40448</v>
      </c>
      <c r="I32" s="22">
        <f>SUM(H34*0.09)+H34</f>
        <v>1.36686</v>
      </c>
      <c r="J32" s="22">
        <f>SUM(H34*0.1)+H34</f>
        <v>1.3794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SUM(INICIO!J39)</f>
        <v>1.4526399999999999</v>
      </c>
      <c r="D34" s="10"/>
      <c r="E34" s="10"/>
      <c r="F34" s="10"/>
      <c r="G34" s="26" t="s">
        <v>5</v>
      </c>
      <c r="H34" s="27">
        <f>SUM(INICIO!P39)</f>
        <v>1.254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1.489752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1.4759579999999999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1.489752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PROPER(INICIO!D40)</f>
        <v>Radice/Dodero/Secaire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45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45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45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45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45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45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44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SUM(INICIO!K40)</f>
        <v>2176.0547200000001</v>
      </c>
      <c r="D16" s="43"/>
      <c r="E16" s="43"/>
      <c r="F16" s="43"/>
      <c r="G16" s="26" t="s">
        <v>5</v>
      </c>
      <c r="H16" s="42">
        <f>SUM(INICIO!Q40)</f>
        <v>1793.1059999999998</v>
      </c>
      <c r="I16" s="43"/>
      <c r="J16" s="43" t="s">
        <v>302</v>
      </c>
      <c r="K16" s="44"/>
    </row>
    <row r="17" spans="1:11" ht="15.75" x14ac:dyDescent="0.25">
      <c r="A17" s="1"/>
      <c r="B17" s="10"/>
      <c r="C17" s="10"/>
      <c r="D17" s="10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SUM(INICIO!J40)</f>
        <v>1.4526399999999999</v>
      </c>
      <c r="D34" s="10"/>
      <c r="E34" s="10"/>
      <c r="F34" s="10"/>
      <c r="G34" s="26" t="s">
        <v>5</v>
      </c>
      <c r="H34" s="27">
        <f>SUM(INICIO!P40)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PROPER(INICIO!D41)</f>
        <v>Acerec/Escapes/Solomita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SUM(INICIO!K41)</f>
        <v>2098.3384799999999</v>
      </c>
      <c r="D16" s="43"/>
      <c r="E16" s="43"/>
      <c r="F16" s="10"/>
      <c r="G16" s="26" t="s">
        <v>5</v>
      </c>
      <c r="H16" s="42">
        <f>SUM(INICIO!Q41)</f>
        <v>1810.1831999999999</v>
      </c>
      <c r="I16" s="43"/>
      <c r="J16" s="43"/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46"/>
      <c r="I18" s="43" t="s">
        <v>7</v>
      </c>
      <c r="J18" s="43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47"/>
      <c r="I19" s="43" t="s">
        <v>8</v>
      </c>
      <c r="J19" s="43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SUM(INICIO!J41)</f>
        <v>1.40076</v>
      </c>
      <c r="D34" s="10"/>
      <c r="E34" s="10"/>
      <c r="F34" s="10"/>
      <c r="G34" s="26" t="s">
        <v>5</v>
      </c>
      <c r="H34" s="27">
        <f>SUM(INICIO!P41)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48"/>
  <sheetViews>
    <sheetView showGridLines="0" workbookViewId="0"/>
  </sheetViews>
  <sheetFormatPr baseColWidth="10" defaultRowHeight="15" x14ac:dyDescent="0.25"/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9.5" thickBot="1" x14ac:dyDescent="0.3">
      <c r="A2" s="1"/>
      <c r="B2" s="11" t="s">
        <v>15</v>
      </c>
      <c r="C2" s="1"/>
      <c r="D2" s="263" t="str">
        <f>PROPER(INICIO!D42)</f>
        <v>Binetti/Titanium/Carlos</v>
      </c>
      <c r="E2" s="264"/>
      <c r="F2" s="264"/>
      <c r="G2" s="265"/>
      <c r="H2" s="1"/>
      <c r="I2" s="1"/>
      <c r="J2" s="1"/>
      <c r="K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2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45"/>
      <c r="G6" s="18">
        <v>1.6</v>
      </c>
      <c r="H6" s="40">
        <f>SUM(H16*0.17)+H16</f>
        <v>2097.9340199999997</v>
      </c>
      <c r="I6" s="40" t="s">
        <v>2</v>
      </c>
      <c r="J6" s="40" t="s">
        <v>2</v>
      </c>
      <c r="K6" s="44"/>
    </row>
    <row r="7" spans="1:12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45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2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45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2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45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2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45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2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45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2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45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2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44"/>
    </row>
    <row r="14" spans="1:12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44"/>
    </row>
    <row r="15" spans="1:12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44" t="s">
        <v>52</v>
      </c>
      <c r="L15" t="s">
        <v>52</v>
      </c>
    </row>
    <row r="16" spans="1:12" ht="16.5" thickBot="1" x14ac:dyDescent="0.3">
      <c r="A16" s="1"/>
      <c r="B16" s="14" t="s">
        <v>5</v>
      </c>
      <c r="C16" s="41">
        <f>SUM(INICIO!K42)</f>
        <v>2098.3384799999999</v>
      </c>
      <c r="D16" s="43"/>
      <c r="E16" s="43"/>
      <c r="F16" s="43"/>
      <c r="G16" s="26" t="s">
        <v>5</v>
      </c>
      <c r="H16" s="42">
        <f>SUM(INICIO!Q42)</f>
        <v>1793.1059999999998</v>
      </c>
      <c r="I16" s="43" t="s">
        <v>129</v>
      </c>
      <c r="J16" s="90">
        <v>1.57</v>
      </c>
      <c r="K16" s="44" t="s">
        <v>52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348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SUM(INICIO!J42)</f>
        <v>1.40076</v>
      </c>
      <c r="D34" s="10"/>
      <c r="E34" s="10"/>
      <c r="F34" s="10"/>
      <c r="G34" s="26" t="s">
        <v>5</v>
      </c>
      <c r="H34" s="27">
        <f>SUM(INICIO!P42)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1" spans="2:11" ht="15.75" x14ac:dyDescent="0.25">
      <c r="B41" s="14" t="s">
        <v>69</v>
      </c>
      <c r="C41" s="15">
        <v>1000</v>
      </c>
      <c r="D41" s="15">
        <v>1220</v>
      </c>
    </row>
    <row r="42" spans="2:11" ht="15.75" x14ac:dyDescent="0.25">
      <c r="B42" s="17" t="s">
        <v>70</v>
      </c>
      <c r="C42" s="40" t="s">
        <v>52</v>
      </c>
      <c r="D42" s="68">
        <v>1.627</v>
      </c>
    </row>
    <row r="43" spans="2:11" ht="15.75" x14ac:dyDescent="0.25">
      <c r="B43" s="17">
        <v>18</v>
      </c>
      <c r="C43" s="40" t="s">
        <v>52</v>
      </c>
      <c r="D43" s="68">
        <v>1.639</v>
      </c>
    </row>
    <row r="44" spans="2:11" ht="15.75" x14ac:dyDescent="0.25">
      <c r="B44" s="17">
        <v>20</v>
      </c>
      <c r="C44" s="40" t="s">
        <v>52</v>
      </c>
      <c r="D44" s="68">
        <v>1.653</v>
      </c>
    </row>
    <row r="45" spans="2:11" ht="15.75" x14ac:dyDescent="0.25">
      <c r="B45" s="17">
        <v>22</v>
      </c>
      <c r="C45" s="40" t="s">
        <v>68</v>
      </c>
      <c r="D45" s="68">
        <v>1.6719999999999999</v>
      </c>
    </row>
    <row r="46" spans="2:11" ht="15.75" x14ac:dyDescent="0.25">
      <c r="B46" s="17">
        <v>24</v>
      </c>
      <c r="C46" s="40" t="s">
        <v>52</v>
      </c>
      <c r="D46" s="69" t="s">
        <v>52</v>
      </c>
    </row>
    <row r="47" spans="2:11" ht="15.75" x14ac:dyDescent="0.25">
      <c r="B47" s="17">
        <v>25</v>
      </c>
      <c r="C47" s="40" t="s">
        <v>52</v>
      </c>
      <c r="D47" s="68">
        <v>1.6919999999999999</v>
      </c>
    </row>
    <row r="48" spans="2:11" ht="15.75" x14ac:dyDescent="0.25">
      <c r="B48" s="17">
        <v>26</v>
      </c>
      <c r="C48" s="40" t="s">
        <v>52</v>
      </c>
      <c r="D48" s="69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40"/>
  <sheetViews>
    <sheetView showGridLines="0" workbookViewId="0">
      <selection activeCell="N7" sqref="N7"/>
    </sheetView>
  </sheetViews>
  <sheetFormatPr baseColWidth="10" defaultRowHeight="15" x14ac:dyDescent="0.25"/>
  <sheetData>
    <row r="1" spans="1:12" ht="15.75" thickBot="1" x14ac:dyDescent="0.3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9.5" thickBot="1" x14ac:dyDescent="0.3">
      <c r="A2" s="1"/>
      <c r="B2" s="11" t="s">
        <v>15</v>
      </c>
      <c r="C2" s="1"/>
      <c r="D2" s="263" t="str">
        <f>PROPER(INICIO!D43)</f>
        <v>Cuatro Ases/Secaire/Petenelo/Maresca</v>
      </c>
      <c r="E2" s="264"/>
      <c r="F2" s="264"/>
      <c r="G2" s="265"/>
      <c r="H2" s="1"/>
      <c r="I2" s="1"/>
      <c r="J2" s="1"/>
      <c r="K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2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2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2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2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2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2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  <c r="L11" t="s">
        <v>359</v>
      </c>
    </row>
    <row r="12" spans="1:12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  <c r="L12" t="s">
        <v>360</v>
      </c>
    </row>
    <row r="13" spans="1:12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2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2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2" ht="16.5" thickBot="1" x14ac:dyDescent="0.3">
      <c r="A16" s="1"/>
      <c r="B16" s="14" t="s">
        <v>5</v>
      </c>
      <c r="C16" s="41">
        <f>SUM(INICIO!K43)</f>
        <v>2098.3384799999999</v>
      </c>
      <c r="D16" s="43"/>
      <c r="E16" s="43"/>
      <c r="F16" s="10"/>
      <c r="G16" s="26" t="s">
        <v>5</v>
      </c>
      <c r="H16" s="42">
        <f>SUM(INICIO!Q43)</f>
        <v>1793.1059999999998</v>
      </c>
      <c r="I16" s="43"/>
      <c r="J16" s="215" t="s">
        <v>280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330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SUM(INICIO!J43)</f>
        <v>1.40076</v>
      </c>
      <c r="D34" s="10"/>
      <c r="E34" s="10"/>
      <c r="F34" s="10"/>
      <c r="G34" s="26" t="s">
        <v>5</v>
      </c>
      <c r="H34" s="27">
        <f>SUM(INICIO!P43)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45"/>
  <sheetViews>
    <sheetView showGridLines="0" zoomScale="120" zoomScaleNormal="12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PROPER(INICIO!D44)</f>
        <v>Colo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1985.7368159999996</v>
      </c>
      <c r="I7" s="40">
        <f>SUM(H16*0.11)+H16</f>
        <v>1933.4805839999997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1950.8993279999997</v>
      </c>
      <c r="I8" s="40">
        <f>SUM(H16*0.09)+H16</f>
        <v>1898.6430959999998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1933.4805839999997</v>
      </c>
      <c r="I9" s="40">
        <f>SUM(H16*0.08)+H16</f>
        <v>1881.2243519999997</v>
      </c>
      <c r="J9" s="40">
        <f>SUM(H16*0.08)+H16</f>
        <v>1881.2243519999997</v>
      </c>
      <c r="K9" s="44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1916.0618399999996</v>
      </c>
      <c r="I10" s="40">
        <f>SUM(H16*0.07+H16)</f>
        <v>1863.8056079999997</v>
      </c>
      <c r="J10" s="40">
        <f>SUM(H16*0.07)+H16</f>
        <v>1863.8056079999997</v>
      </c>
      <c r="K10" s="44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1933.4805839999997</v>
      </c>
      <c r="I11" s="40">
        <f>SUM(H16*0.08)+H16</f>
        <v>1881.2243519999997</v>
      </c>
      <c r="J11" s="40">
        <f>SUM(H16*0.08)+H16</f>
        <v>1881.2243519999997</v>
      </c>
      <c r="K11" s="44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1933.4805839999997</v>
      </c>
      <c r="I12" s="40">
        <f>SUM(H16*0.08)+H16</f>
        <v>1881.2243519999997</v>
      </c>
      <c r="J12" s="40">
        <f>SUM(H16*0.08)+H16</f>
        <v>1881.2243519999997</v>
      </c>
      <c r="K12" s="44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1950.8993279999997</v>
      </c>
      <c r="I13" s="40">
        <f>SUM(H16*0.09)+H16</f>
        <v>1898.6430959999998</v>
      </c>
      <c r="J13" s="40">
        <f>SUM(H16*0.09)+H16</f>
        <v>1898.6430959999998</v>
      </c>
      <c r="K13" s="44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1950.8993279999997</v>
      </c>
      <c r="I14" s="40">
        <f>SUM(H16*0.09)+H16</f>
        <v>1898.6430959999998</v>
      </c>
      <c r="J14" s="40">
        <f>SUM(H16*0.09)+H16</f>
        <v>1898.6430959999998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SUM(INICIO!K44)</f>
        <v>2059.48036</v>
      </c>
      <c r="D16" s="43"/>
      <c r="E16" s="43"/>
      <c r="F16" s="10"/>
      <c r="G16" s="26" t="s">
        <v>5</v>
      </c>
      <c r="H16" s="42">
        <f>SUM(INICIO!Q44)</f>
        <v>1741.8743999999997</v>
      </c>
      <c r="I16" s="62" t="s">
        <v>293</v>
      </c>
      <c r="J16" s="43" t="s">
        <v>52</v>
      </c>
      <c r="K16" s="44"/>
    </row>
    <row r="17" spans="1:11" ht="15.75" x14ac:dyDescent="0.25">
      <c r="A17" s="1"/>
      <c r="B17" s="10"/>
      <c r="C17" s="10"/>
      <c r="D17" s="10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2069.3467871999997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2050.1861687999995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2069.3467871999997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1.3255919999999999</v>
      </c>
      <c r="I25" s="22">
        <f>SUM(H34*0.11)+H34</f>
        <v>1.2907079999999997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1.3023359999999997</v>
      </c>
      <c r="I26" s="22">
        <f>SUM(H34*0.09)+H34</f>
        <v>1.2674519999999998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1.2907079999999997</v>
      </c>
      <c r="I27" s="22">
        <f>SUM(H34*0.08)+H34</f>
        <v>1.2558239999999998</v>
      </c>
      <c r="J27" s="22">
        <f>SUM(H34*0.08)+H34</f>
        <v>1.2558239999999998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1.2790799999999998</v>
      </c>
      <c r="I28" s="22">
        <f>SUM(H34*0.07+H34)</f>
        <v>1.2441959999999999</v>
      </c>
      <c r="J28" s="22">
        <f>SUM(H34*0.07)+H34</f>
        <v>1.2441959999999999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1.2907079999999997</v>
      </c>
      <c r="I29" s="22">
        <f>SUM(H34*0.08)+H34</f>
        <v>1.2558239999999998</v>
      </c>
      <c r="J29" s="22">
        <f>SUM(H34*0.08)+H34</f>
        <v>1.2558239999999998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1.2907079999999997</v>
      </c>
      <c r="I30" s="22">
        <f>SUM(H34*0.08)+H34</f>
        <v>1.2558239999999998</v>
      </c>
      <c r="J30" s="22">
        <f>SUM(H34*0.08)+H34</f>
        <v>1.2558239999999998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1.3023359999999997</v>
      </c>
      <c r="I31" s="22">
        <f>SUM(H34*0.09)+H34</f>
        <v>1.2674519999999998</v>
      </c>
      <c r="J31" s="22">
        <f>SUM(H34*0.09)+H34</f>
        <v>1.2674519999999998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1.3023359999999997</v>
      </c>
      <c r="I32" s="22">
        <f>SUM(H34*0.09)+H34</f>
        <v>1.2674519999999998</v>
      </c>
      <c r="J32" s="22">
        <f>SUM(H34*0.09)+H34</f>
        <v>1.2674519999999998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SUM(INICIO!J44)</f>
        <v>1.3748199999999999</v>
      </c>
      <c r="D34" s="10"/>
      <c r="E34" s="10"/>
      <c r="F34" s="10"/>
      <c r="G34" s="26" t="s">
        <v>5</v>
      </c>
      <c r="H34" s="27">
        <f>SUM(INICIO!P44)</f>
        <v>1.1627999999999998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1.3814063999999999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1.3686155999999998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1.3814063999999999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ht="15.75" x14ac:dyDescent="0.25">
      <c r="B40" s="14" t="s">
        <v>69</v>
      </c>
      <c r="C40" s="15">
        <v>1000</v>
      </c>
      <c r="D40" s="15">
        <v>1220</v>
      </c>
    </row>
    <row r="41" spans="2:11" ht="15.75" x14ac:dyDescent="0.25">
      <c r="B41" s="17" t="s">
        <v>83</v>
      </c>
      <c r="C41" s="22">
        <f>SUM(C51*0.07)+C51</f>
        <v>0</v>
      </c>
      <c r="D41" s="65" t="s">
        <v>52</v>
      </c>
    </row>
    <row r="42" spans="2:11" ht="15.75" x14ac:dyDescent="0.25">
      <c r="B42" s="17">
        <v>18</v>
      </c>
      <c r="C42" s="65" t="s">
        <v>52</v>
      </c>
      <c r="D42" s="65" t="s">
        <v>52</v>
      </c>
    </row>
    <row r="43" spans="2:11" ht="15.75" x14ac:dyDescent="0.25">
      <c r="B43" s="17">
        <v>20</v>
      </c>
      <c r="C43" s="22">
        <f>SUM(C51*0.08)+C51</f>
        <v>0</v>
      </c>
      <c r="D43" s="65" t="s">
        <v>68</v>
      </c>
    </row>
    <row r="44" spans="2:11" ht="15.75" x14ac:dyDescent="0.25">
      <c r="B44" s="17">
        <v>22</v>
      </c>
      <c r="C44" s="22">
        <f>SUM(C53*0.07)+C53</f>
        <v>0</v>
      </c>
      <c r="D44" s="65" t="s">
        <v>52</v>
      </c>
    </row>
    <row r="45" spans="2:11" ht="15.75" x14ac:dyDescent="0.25">
      <c r="B45" s="17">
        <v>25</v>
      </c>
      <c r="C45" s="22">
        <f>SUM(C53*0.08)+C53</f>
        <v>0</v>
      </c>
      <c r="D45" s="65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45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PROPER(INICIO!D45)</f>
        <v>Dalma/Fornari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SUM(INICIO!K45)</f>
        <v>2176.0547200000001</v>
      </c>
      <c r="D16" s="43"/>
      <c r="E16" s="43"/>
      <c r="F16" s="10"/>
      <c r="G16" s="26" t="s">
        <v>5</v>
      </c>
      <c r="H16" s="42">
        <f>SUM(INICIO!Q45)</f>
        <v>1861.4147999999998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SUM(INICIO!J45)</f>
        <v>1.4526399999999999</v>
      </c>
      <c r="D34" s="10"/>
      <c r="E34" s="10"/>
      <c r="F34" s="10"/>
      <c r="G34" s="26" t="s">
        <v>5</v>
      </c>
      <c r="H34" s="27">
        <f>SUM(INICIO!P45)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1" spans="2:11" ht="15.75" x14ac:dyDescent="0.25">
      <c r="B41" s="14" t="s">
        <v>71</v>
      </c>
      <c r="C41" s="15" t="s">
        <v>74</v>
      </c>
    </row>
    <row r="42" spans="2:11" ht="15.75" x14ac:dyDescent="0.25">
      <c r="B42" s="17" t="s">
        <v>72</v>
      </c>
      <c r="C42" s="72">
        <v>68.19</v>
      </c>
    </row>
    <row r="43" spans="2:11" ht="15.75" x14ac:dyDescent="0.25">
      <c r="B43" s="17" t="s">
        <v>104</v>
      </c>
      <c r="C43" s="72">
        <v>44.35</v>
      </c>
    </row>
    <row r="44" spans="2:11" ht="15.75" x14ac:dyDescent="0.25">
      <c r="B44" s="17" t="s">
        <v>73</v>
      </c>
      <c r="C44" s="72">
        <v>12.43</v>
      </c>
    </row>
    <row r="45" spans="2:11" ht="15.75" x14ac:dyDescent="0.25">
      <c r="B45" s="17" t="s">
        <v>96</v>
      </c>
      <c r="C45" s="72">
        <v>54.5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PROPER(INICIO!D46)</f>
        <v>Itexa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222">
        <f>E6*90/100</f>
        <v>1964.0448172799997</v>
      </c>
      <c r="G6" s="18">
        <v>1.6</v>
      </c>
      <c r="H6" s="40" t="s">
        <v>2</v>
      </c>
      <c r="I6" s="40" t="s">
        <v>2</v>
      </c>
      <c r="J6" s="40" t="s">
        <v>2</v>
      </c>
      <c r="K6" s="223" t="s">
        <v>52</v>
      </c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223" t="s">
        <v>52</v>
      </c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223" t="s">
        <v>52</v>
      </c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223" t="s">
        <v>52</v>
      </c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SUM(H16*0.11)+H16</f>
        <v>1990.3476599999997</v>
      </c>
      <c r="I10" s="40">
        <f>SUM(H16*0.08+H16)</f>
        <v>1936.5544799999998</v>
      </c>
      <c r="J10" s="40">
        <f>SUM(H16*0.08)+H16</f>
        <v>1936.5544799999998</v>
      </c>
      <c r="K10" s="223">
        <f t="shared" ref="K10:K14" si="0">J10*90/100</f>
        <v>1742.8990319999998</v>
      </c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223">
        <f t="shared" si="0"/>
        <v>1742.8990319999998</v>
      </c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223">
        <f t="shared" si="0"/>
        <v>1742.8990319999998</v>
      </c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SUM(H16*0.09)+H16</f>
        <v>1954.4855399999997</v>
      </c>
      <c r="K13" s="223">
        <f t="shared" si="0"/>
        <v>1759.0369859999998</v>
      </c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SUM(H16*0.09)+H16</f>
        <v>1954.4855399999997</v>
      </c>
      <c r="K14" s="223">
        <f t="shared" si="0"/>
        <v>1759.0369859999998</v>
      </c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SUM(INICIO!K46)</f>
        <v>2098.3384799999999</v>
      </c>
      <c r="D16" s="43"/>
      <c r="E16" s="43"/>
      <c r="F16" s="10"/>
      <c r="G16" s="26" t="s">
        <v>5</v>
      </c>
      <c r="H16" s="42">
        <f>SUM(INICIO!Q46)</f>
        <v>1793.1059999999998</v>
      </c>
      <c r="I16" s="59" t="s">
        <v>82</v>
      </c>
      <c r="J16" s="60">
        <v>1.55</v>
      </c>
      <c r="K16" s="44"/>
    </row>
    <row r="17" spans="1:11" ht="16.5" thickBot="1" x14ac:dyDescent="0.3">
      <c r="A17" s="1"/>
      <c r="B17" s="10"/>
      <c r="C17" s="10"/>
      <c r="D17" s="10"/>
      <c r="E17" s="43"/>
      <c r="F17" s="10"/>
      <c r="G17" s="10"/>
      <c r="H17" s="10"/>
      <c r="I17" s="10"/>
      <c r="J17" s="10"/>
      <c r="K17" s="9"/>
    </row>
    <row r="18" spans="1:11" ht="16.5" thickBot="1" x14ac:dyDescent="0.3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98">
        <v>-0.1</v>
      </c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2130.2099279999998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SUM(H34*0.11)+H34</f>
        <v>1.3286699999999998</v>
      </c>
      <c r="I28" s="22">
        <f>SUM(H34*0.08+H34)</f>
        <v>1.2927599999999999</v>
      </c>
      <c r="J28" s="22">
        <f>SUM(H34*0.08)+H34</f>
        <v>1.2927599999999999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SUM(H34*0.09)+H34</f>
        <v>1.3047299999999997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SUM(H34*0.09)+H34</f>
        <v>1.3047299999999997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SUM(INICIO!J46)</f>
        <v>1.40076</v>
      </c>
      <c r="D34" s="10"/>
      <c r="E34" s="10"/>
      <c r="F34" s="10"/>
      <c r="G34" s="26" t="s">
        <v>5</v>
      </c>
      <c r="H34" s="27">
        <f>SUM(INICIO!P46)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1.4220359999999999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PROPER(INICIO!D47)</f>
        <v>Cb Accesorios/Fursan/Casasco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SUM(H16*0.11)+H16</f>
        <v>1990.3476599999997</v>
      </c>
      <c r="I10" s="40">
        <f>SUM(H16*0.08+H16)</f>
        <v>1936.5544799999998</v>
      </c>
      <c r="J10" s="40">
        <f>SUM(H16*0.08)+H16</f>
        <v>1936.5544799999998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SUM(INICIO!K47)</f>
        <v>2098.3384799999999</v>
      </c>
      <c r="D16" s="43"/>
      <c r="E16" s="43"/>
      <c r="F16" s="10"/>
      <c r="G16" s="26" t="s">
        <v>5</v>
      </c>
      <c r="H16" s="42">
        <f>SUM(INICIO!Q47)</f>
        <v>1793.1059999999998</v>
      </c>
      <c r="I16" s="215" t="s">
        <v>287</v>
      </c>
      <c r="J16" s="43" t="s">
        <v>229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 t="s">
        <v>350</v>
      </c>
      <c r="J17" s="43" t="s">
        <v>52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2130.2099279999998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SUM(INICIO!J47)</f>
        <v>1.40076</v>
      </c>
      <c r="D34" s="10"/>
      <c r="E34" s="10"/>
      <c r="F34" s="10"/>
      <c r="G34" s="26" t="s">
        <v>5</v>
      </c>
      <c r="H34" s="27">
        <f>SUM(INICIO!P47)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PROPER(INICIO!D48)</f>
        <v>Brimpex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2369.9567388</v>
      </c>
      <c r="D6" s="40">
        <f>SUM(C16*0.04)+C16</f>
        <v>2303.5093535999999</v>
      </c>
      <c r="E6" s="40">
        <f>SUM(C16*0.04)+C16</f>
        <v>2303.5093535999999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2369.9567388</v>
      </c>
      <c r="D7" s="40">
        <f>SUM(C16*0.04)+C16</f>
        <v>2303.5093535999999</v>
      </c>
      <c r="E7" s="40">
        <f>SUM(C16*0.04)+C16</f>
        <v>2303.5093535999999</v>
      </c>
      <c r="F7" s="45"/>
      <c r="G7" s="18">
        <v>2</v>
      </c>
      <c r="H7" s="40">
        <f>SUM(H16*0.14)+H16</f>
        <v>2180.4168959999997</v>
      </c>
      <c r="I7" s="40">
        <f>SUM(H16*0.11)+H16</f>
        <v>2123.0375039999999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2392.1058671999999</v>
      </c>
      <c r="D8" s="40">
        <f>SUM(C16*0.05)+C16</f>
        <v>2325.6584819999998</v>
      </c>
      <c r="E8" s="40">
        <f>SUM(C16*0.05)+C16</f>
        <v>2325.6584819999998</v>
      </c>
      <c r="F8" s="45"/>
      <c r="G8" s="18">
        <v>2.5</v>
      </c>
      <c r="H8" s="40">
        <f>SUM(H16*0.12)+H16</f>
        <v>2142.1639679999998</v>
      </c>
      <c r="I8" s="40">
        <f>SUM(H16*0.09)+H16</f>
        <v>2084.784576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2436.4041240000001</v>
      </c>
      <c r="D9" s="40">
        <f>SUM(C16*0.07)+C16</f>
        <v>2369.9567388</v>
      </c>
      <c r="E9" s="40">
        <f>SUM(C16*0.07)+C16</f>
        <v>2369.9567388</v>
      </c>
      <c r="F9" s="45"/>
      <c r="G9" s="18">
        <v>3.17</v>
      </c>
      <c r="H9" s="40">
        <f>SUM(H16*0.11)+H16</f>
        <v>2123.0375039999999</v>
      </c>
      <c r="I9" s="40">
        <f>SUM(H16*0.08)+H16</f>
        <v>2065.6581120000001</v>
      </c>
      <c r="J9" s="40">
        <f>SUM(H16*0.08)+H16</f>
        <v>2065.6581120000001</v>
      </c>
      <c r="K9" s="9"/>
    </row>
    <row r="10" spans="1:11" ht="15.75" x14ac:dyDescent="0.25">
      <c r="A10" s="1"/>
      <c r="B10" s="17">
        <v>0.65</v>
      </c>
      <c r="C10" s="40">
        <f>SUM(C16*0.12)+C16</f>
        <v>2480.7023807999999</v>
      </c>
      <c r="D10" s="40">
        <f>SUM(C16*0.09)+C16</f>
        <v>2414.2549955999998</v>
      </c>
      <c r="E10" s="40" t="s">
        <v>2</v>
      </c>
      <c r="F10" s="45"/>
      <c r="G10" s="18" t="s">
        <v>4</v>
      </c>
      <c r="H10" s="40">
        <f>SUM(H16*0.1)+H16</f>
        <v>2103.91104</v>
      </c>
      <c r="I10" s="40">
        <f>SUM(H16*0.07+H16)</f>
        <v>2046.5316479999999</v>
      </c>
      <c r="J10" s="40">
        <f>SUM(H16*0.07)+H16</f>
        <v>2046.5316479999999</v>
      </c>
      <c r="K10" s="9"/>
    </row>
    <row r="11" spans="1:11" ht="15.75" x14ac:dyDescent="0.25">
      <c r="A11" s="1"/>
      <c r="B11" s="17">
        <v>24</v>
      </c>
      <c r="C11" s="40">
        <f>SUM(C16*0.16)+C16</f>
        <v>2569.2988943999999</v>
      </c>
      <c r="D11" s="40">
        <f>SUM(C16*0.13)+C16</f>
        <v>2502.8515091999998</v>
      </c>
      <c r="E11" s="40" t="s">
        <v>2</v>
      </c>
      <c r="F11" s="45"/>
      <c r="G11" s="18">
        <v>6.35</v>
      </c>
      <c r="H11" s="40">
        <f>SUM(H16*0.11)+H16</f>
        <v>2123.0375039999999</v>
      </c>
      <c r="I11" s="40">
        <f>SUM(H16*0.08)+H16</f>
        <v>2065.6581120000001</v>
      </c>
      <c r="J11" s="40">
        <f>SUM(H16*0.08)+H16</f>
        <v>2065.6581120000001</v>
      </c>
      <c r="K11" s="9"/>
    </row>
    <row r="12" spans="1:11" ht="15.75" x14ac:dyDescent="0.25">
      <c r="A12" s="1"/>
      <c r="B12" s="17">
        <v>26</v>
      </c>
      <c r="C12" s="40">
        <f>SUM(C16*0.2)+C16</f>
        <v>2657.8954079999999</v>
      </c>
      <c r="D12" s="40">
        <f>SUM(C16*0.15)+C16</f>
        <v>2547.149766</v>
      </c>
      <c r="E12" s="40" t="s">
        <v>2</v>
      </c>
      <c r="F12" s="45"/>
      <c r="G12" s="18">
        <v>8</v>
      </c>
      <c r="H12" s="40">
        <f>SUM(H16*0.11)+H16</f>
        <v>2123.0375039999999</v>
      </c>
      <c r="I12" s="40">
        <f>SUM(H16*0.08)+H16</f>
        <v>2065.6581120000001</v>
      </c>
      <c r="J12" s="40">
        <f>SUM(H16*0.08)+H16</f>
        <v>2065.6581120000001</v>
      </c>
      <c r="K12" s="9"/>
    </row>
    <row r="13" spans="1:11" ht="15.75" x14ac:dyDescent="0.25">
      <c r="A13" s="1"/>
      <c r="B13" s="17">
        <v>27</v>
      </c>
      <c r="C13" s="40">
        <f>SUM(C16*0.26)+C16</f>
        <v>2790.7901784000001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2142.1639679999998</v>
      </c>
      <c r="I13" s="40">
        <f>SUM(H16*0.09)+H16</f>
        <v>2084.784576</v>
      </c>
      <c r="J13" s="40">
        <f>SUM(H16*0.1)+H16</f>
        <v>2103.91104</v>
      </c>
      <c r="K13" s="9"/>
    </row>
    <row r="14" spans="1:11" ht="15.75" x14ac:dyDescent="0.25">
      <c r="A14" s="1"/>
      <c r="B14" s="17">
        <v>30</v>
      </c>
      <c r="C14" s="40">
        <f>SUM(C16*0.32)+C16</f>
        <v>2923.6849487999998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2142.1639679999998</v>
      </c>
      <c r="I14" s="40">
        <f>SUM(H16*0.09)+H16</f>
        <v>2084.784576</v>
      </c>
      <c r="J14" s="40">
        <f>SUM(H16*0.1)+H16</f>
        <v>2103.91104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SUM(INICIO!K48)</f>
        <v>2214.91284</v>
      </c>
      <c r="D16" s="43"/>
      <c r="E16" s="43"/>
      <c r="F16" s="43"/>
      <c r="G16" s="26" t="s">
        <v>5</v>
      </c>
      <c r="H16" s="42">
        <f>SUM(INICIO!Q48)</f>
        <v>1912.6463999999999</v>
      </c>
      <c r="I16" s="43"/>
      <c r="J16" s="43"/>
      <c r="K16" s="9"/>
    </row>
    <row r="17" spans="1:11" ht="15.75" x14ac:dyDescent="0.25">
      <c r="A17" s="1"/>
      <c r="B17" s="10"/>
      <c r="C17" s="43"/>
      <c r="D17" s="43"/>
      <c r="E17" s="43"/>
      <c r="F17" s="43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2272.2239232000002</v>
      </c>
      <c r="F18" s="10"/>
      <c r="G18" s="10"/>
      <c r="H18" s="46"/>
      <c r="I18" s="43" t="s">
        <v>7</v>
      </c>
      <c r="J18" s="43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2251.1848128000001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2272.2239232000002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1.5820806000000001</v>
      </c>
      <c r="D24" s="22">
        <f>SUM(C34*0.04)+C34</f>
        <v>1.5377232000000001</v>
      </c>
      <c r="E24" s="22">
        <f>SUM(C34*0.04)+C34</f>
        <v>1.5377232000000001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1.5820806000000001</v>
      </c>
      <c r="D25" s="22">
        <f>SUM(C34*0.04)+C34</f>
        <v>1.5377232000000001</v>
      </c>
      <c r="E25" s="22">
        <f>SUM(C34*0.04)+C34</f>
        <v>1.5377232000000001</v>
      </c>
      <c r="F25" s="16"/>
      <c r="G25" s="18">
        <v>2</v>
      </c>
      <c r="H25" s="22">
        <f>SUM(H34*0.14)+H34</f>
        <v>1.455552</v>
      </c>
      <c r="I25" s="22">
        <f>SUM(H34*0.11)+H34</f>
        <v>1.4172479999999998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1.5968663999999999</v>
      </c>
      <c r="D26" s="22">
        <f>SUM(C34*0.05)+C34</f>
        <v>1.5525089999999999</v>
      </c>
      <c r="E26" s="22">
        <f>SUM(C34*0.05)+C34</f>
        <v>1.5525089999999999</v>
      </c>
      <c r="F26" s="16"/>
      <c r="G26" s="18">
        <v>2.5</v>
      </c>
      <c r="H26" s="22">
        <f>SUM(H34*0.12)+H34</f>
        <v>1.430016</v>
      </c>
      <c r="I26" s="22">
        <f>SUM(H34*0.09)+H34</f>
        <v>1.3917119999999998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1.6264380000000001</v>
      </c>
      <c r="D27" s="22">
        <f>SUM(C34*0.07)+C34</f>
        <v>1.5820806000000001</v>
      </c>
      <c r="E27" s="22">
        <f>SUM(C34*0.07)+C34</f>
        <v>1.5820806000000001</v>
      </c>
      <c r="F27" s="16"/>
      <c r="G27" s="18">
        <v>3.17</v>
      </c>
      <c r="H27" s="22">
        <f>SUM(H34*0.11)+H34</f>
        <v>1.4172479999999998</v>
      </c>
      <c r="I27" s="22">
        <f>SUM(H34*0.08)+H34</f>
        <v>1.3789439999999999</v>
      </c>
      <c r="J27" s="22">
        <f>SUM(H34*0.08)+H34</f>
        <v>1.3789439999999999</v>
      </c>
      <c r="K27" s="9"/>
    </row>
    <row r="28" spans="1:11" s="1" customFormat="1" ht="15.75" x14ac:dyDescent="0.25">
      <c r="B28" s="17">
        <v>0.65</v>
      </c>
      <c r="C28" s="22">
        <f>SUM(C34*0.12)+C34</f>
        <v>1.6560096</v>
      </c>
      <c r="D28" s="22">
        <f>SUM(C34*0.09)+C34</f>
        <v>1.6116522</v>
      </c>
      <c r="E28" s="23" t="s">
        <v>2</v>
      </c>
      <c r="F28" s="16"/>
      <c r="G28" s="18" t="s">
        <v>4</v>
      </c>
      <c r="H28" s="22">
        <f>SUM(H34*0.1)+H34</f>
        <v>1.40448</v>
      </c>
      <c r="I28" s="22">
        <f>SUM(H34*0.07+H34)</f>
        <v>1.3661759999999998</v>
      </c>
      <c r="J28" s="22">
        <f>SUM(H34*0.07)+H34</f>
        <v>1.3661759999999998</v>
      </c>
      <c r="K28" s="9"/>
    </row>
    <row r="29" spans="1:11" s="1" customFormat="1" ht="15.75" x14ac:dyDescent="0.25">
      <c r="B29" s="17">
        <v>24</v>
      </c>
      <c r="C29" s="22">
        <f>SUM(C34*0.16)+C34</f>
        <v>1.7151528</v>
      </c>
      <c r="D29" s="22">
        <f>SUM(C34*0.13)+C34</f>
        <v>1.6707954</v>
      </c>
      <c r="E29" s="23" t="s">
        <v>2</v>
      </c>
      <c r="F29" s="16"/>
      <c r="G29" s="18">
        <v>6.35</v>
      </c>
      <c r="H29" s="22">
        <f>SUM(H34*0.11)+H34</f>
        <v>1.4172479999999998</v>
      </c>
      <c r="I29" s="22">
        <f>SUM(H34*0.08)+H34</f>
        <v>1.3789439999999999</v>
      </c>
      <c r="J29" s="22">
        <f>SUM(H34*0.08)+H34</f>
        <v>1.3789439999999999</v>
      </c>
      <c r="K29" s="9"/>
    </row>
    <row r="30" spans="1:11" s="1" customFormat="1" ht="15.75" x14ac:dyDescent="0.25">
      <c r="B30" s="17">
        <v>26</v>
      </c>
      <c r="C30" s="22">
        <f>SUM(C34*0.2)+C34</f>
        <v>1.7742960000000001</v>
      </c>
      <c r="D30" s="22">
        <f>SUM(C34*0.15)+C34</f>
        <v>1.700367</v>
      </c>
      <c r="E30" s="23" t="s">
        <v>2</v>
      </c>
      <c r="F30" s="16"/>
      <c r="G30" s="18">
        <v>8</v>
      </c>
      <c r="H30" s="22">
        <f>SUM(H34*0.11)+H34</f>
        <v>1.4172479999999998</v>
      </c>
      <c r="I30" s="22">
        <f>SUM(H34*0.08)+H34</f>
        <v>1.3789439999999999</v>
      </c>
      <c r="J30" s="22">
        <f>SUM(H34*0.08)+H34</f>
        <v>1.3789439999999999</v>
      </c>
      <c r="K30" s="9"/>
    </row>
    <row r="31" spans="1:11" s="1" customFormat="1" ht="15.75" x14ac:dyDescent="0.25">
      <c r="B31" s="17">
        <v>27</v>
      </c>
      <c r="C31" s="22">
        <f>SUM(C34*0.26)+C34</f>
        <v>1.8630108000000001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1.430016</v>
      </c>
      <c r="I31" s="22">
        <f>SUM(H34*0.09)+H34</f>
        <v>1.3917119999999998</v>
      </c>
      <c r="J31" s="22">
        <f>SUM(H34*0.1)+H34</f>
        <v>1.40448</v>
      </c>
      <c r="K31" s="9"/>
    </row>
    <row r="32" spans="1:11" s="1" customFormat="1" ht="15.75" x14ac:dyDescent="0.25">
      <c r="B32" s="17">
        <v>30</v>
      </c>
      <c r="C32" s="22">
        <f>SUM(C34*0.32)+C34</f>
        <v>1.9517256000000001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1.430016</v>
      </c>
      <c r="I32" s="22">
        <f>SUM(H34*0.09)+H34</f>
        <v>1.3917119999999998</v>
      </c>
      <c r="J32" s="22">
        <f>SUM(H34*0.1)+H34</f>
        <v>1.40448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SUM(INICIO!J48)</f>
        <v>1.47858</v>
      </c>
      <c r="D34" s="10"/>
      <c r="E34" s="10"/>
      <c r="F34" s="10"/>
      <c r="G34" s="26" t="s">
        <v>5</v>
      </c>
      <c r="H34" s="27">
        <f>SUM(INICIO!P48)</f>
        <v>1.2767999999999999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1.5168383999999999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1.5027935999999997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1.5168383999999999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95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PROPER(INICIO!D49)</f>
        <v>Eimetar/Bepanor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44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44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44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44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44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SUM(INICIO!K49)</f>
        <v>2098.3384799999999</v>
      </c>
      <c r="D16" s="43"/>
      <c r="E16" s="43"/>
      <c r="F16" s="10"/>
      <c r="G16" s="26" t="s">
        <v>5</v>
      </c>
      <c r="H16" s="42">
        <f>SUM(INICIO!Q49)</f>
        <v>1810.1831999999999</v>
      </c>
      <c r="I16" s="43"/>
      <c r="J16" s="43" t="s">
        <v>239</v>
      </c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 t="s">
        <v>52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SUM(INICIO!J49)</f>
        <v>1.40076</v>
      </c>
      <c r="D34" s="10"/>
      <c r="E34" s="10"/>
      <c r="F34" s="10"/>
      <c r="G34" s="26" t="s">
        <v>5</v>
      </c>
      <c r="H34" s="27">
        <f>SUM(INICIO!P49)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51"/>
  <sheetViews>
    <sheetView showGridLines="0" zoomScale="110" zoomScaleNormal="11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PROPER(INICIO!D50)</f>
        <v>Ruta 7/Diamet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45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45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45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45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45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45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SUM(INICIO!K50)</f>
        <v>2176.0547200000001</v>
      </c>
      <c r="D16" s="43"/>
      <c r="E16" s="43"/>
      <c r="F16" s="43"/>
      <c r="G16" s="26" t="s">
        <v>5</v>
      </c>
      <c r="H16" s="42">
        <f>SUM(INICIO!Q50)</f>
        <v>1861.4147999999998</v>
      </c>
      <c r="I16" s="43"/>
      <c r="J16" s="43"/>
      <c r="K16" s="9"/>
    </row>
    <row r="17" spans="1:11" ht="15.75" x14ac:dyDescent="0.25">
      <c r="A17" s="1"/>
      <c r="B17" s="10"/>
      <c r="C17" s="43"/>
      <c r="D17" s="43"/>
      <c r="E17" s="43"/>
      <c r="F17" s="43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SUM(INICIO!J50)</f>
        <v>1.4526399999999999</v>
      </c>
      <c r="D34" s="10"/>
      <c r="E34" s="10"/>
      <c r="F34" s="10"/>
      <c r="G34" s="26" t="s">
        <v>5</v>
      </c>
      <c r="H34" s="27">
        <f>SUM(INICIO!P50)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1" spans="2:11" x14ac:dyDescent="0.25">
      <c r="B41" s="1"/>
      <c r="C41" s="1"/>
      <c r="D41" s="1"/>
      <c r="E41" s="1"/>
    </row>
    <row r="44" spans="2:11" ht="15.75" x14ac:dyDescent="0.25">
      <c r="B44" s="14" t="s">
        <v>69</v>
      </c>
      <c r="C44" s="15">
        <v>1000</v>
      </c>
      <c r="D44" s="15">
        <v>1220</v>
      </c>
    </row>
    <row r="45" spans="2:11" ht="15.75" x14ac:dyDescent="0.25">
      <c r="B45" s="17" t="s">
        <v>70</v>
      </c>
      <c r="C45" s="40" t="s">
        <v>52</v>
      </c>
      <c r="D45" s="68">
        <v>1.627</v>
      </c>
    </row>
    <row r="46" spans="2:11" ht="15.75" x14ac:dyDescent="0.25">
      <c r="B46" s="17">
        <v>18</v>
      </c>
      <c r="C46" s="40" t="s">
        <v>52</v>
      </c>
      <c r="D46" s="68">
        <v>1.639</v>
      </c>
    </row>
    <row r="47" spans="2:11" ht="15.75" x14ac:dyDescent="0.25">
      <c r="B47" s="17">
        <v>20</v>
      </c>
      <c r="C47" s="40" t="s">
        <v>52</v>
      </c>
      <c r="D47" s="68">
        <v>1.653</v>
      </c>
    </row>
    <row r="48" spans="2:11" ht="15.75" x14ac:dyDescent="0.25">
      <c r="B48" s="17">
        <v>22</v>
      </c>
      <c r="C48" s="40" t="s">
        <v>68</v>
      </c>
      <c r="D48" s="68">
        <v>1.6719999999999999</v>
      </c>
    </row>
    <row r="49" spans="2:4" ht="15.75" x14ac:dyDescent="0.25">
      <c r="B49" s="17">
        <v>24</v>
      </c>
      <c r="C49" s="40" t="s">
        <v>52</v>
      </c>
      <c r="D49" s="69" t="s">
        <v>52</v>
      </c>
    </row>
    <row r="50" spans="2:4" ht="15.75" x14ac:dyDescent="0.25">
      <c r="B50" s="17">
        <v>25</v>
      </c>
      <c r="C50" s="40" t="s">
        <v>52</v>
      </c>
      <c r="D50" s="68">
        <v>1.6919999999999999</v>
      </c>
    </row>
    <row r="51" spans="2:4" ht="15.75" x14ac:dyDescent="0.25">
      <c r="B51" s="17">
        <v>26</v>
      </c>
      <c r="C51" s="40" t="s">
        <v>52</v>
      </c>
      <c r="D51" s="69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0"/>
  <sheetViews>
    <sheetView showGridLines="0" topLeftCell="A7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PROPER(INICIO!D51)</f>
        <v>Thegos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2141.4808800000001</v>
      </c>
      <c r="I7" s="40">
        <f>SUM(H16*0.11)+H16</f>
        <v>2085.1261199999999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2103.91104</v>
      </c>
      <c r="I8" s="40">
        <f>SUM(H16*0.09)+H16</f>
        <v>2047.55628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2085.1261199999999</v>
      </c>
      <c r="I9" s="40">
        <f>SUM(H16*0.08)+H16</f>
        <v>2028.77136</v>
      </c>
      <c r="J9" s="40">
        <f>SUM(H16*0.08)+H16</f>
        <v>2028.77136</v>
      </c>
      <c r="K9" s="44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2066.3411999999998</v>
      </c>
      <c r="I10" s="40">
        <f>SUM(H16*0.07+H16)</f>
        <v>2009.9864399999999</v>
      </c>
      <c r="J10" s="40">
        <f>SUM(H16*0.07)+H16</f>
        <v>2009.9864399999999</v>
      </c>
      <c r="K10" s="44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2085.1261199999999</v>
      </c>
      <c r="I11" s="40">
        <f>SUM(H16*0.08)+H16</f>
        <v>2028.77136</v>
      </c>
      <c r="J11" s="40">
        <f>SUM(H16*0.08)+H16</f>
        <v>2028.77136</v>
      </c>
      <c r="K11" s="44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2085.1261199999999</v>
      </c>
      <c r="I12" s="40">
        <f>SUM(H16*0.08)+H16</f>
        <v>2028.77136</v>
      </c>
      <c r="J12" s="40">
        <f>SUM(H16*0.08)+H16</f>
        <v>2028.77136</v>
      </c>
      <c r="K12" s="44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2103.91104</v>
      </c>
      <c r="I13" s="40">
        <f>SUM(H16*0.09)+H16</f>
        <v>2047.55628</v>
      </c>
      <c r="J13" s="40">
        <f>SUM(H16*0.09)+H16</f>
        <v>2047.55628</v>
      </c>
      <c r="K13" s="44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2103.91104</v>
      </c>
      <c r="I14" s="40">
        <f>SUM(H16*0.09)+H16</f>
        <v>2047.55628</v>
      </c>
      <c r="J14" s="40">
        <f>SUM(H16*0.09)+H16</f>
        <v>2047.55628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SUM(INICIO!K51)</f>
        <v>2176.0547200000001</v>
      </c>
      <c r="D16" s="43"/>
      <c r="E16" s="43"/>
      <c r="F16" s="10"/>
      <c r="G16" s="26" t="s">
        <v>5</v>
      </c>
      <c r="H16" s="42">
        <f>SUM(INICIO!Q51)</f>
        <v>1878.492</v>
      </c>
      <c r="I16" s="43"/>
      <c r="J16" s="43"/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2231.6484959999998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2210.9850839999999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2231.6484959999998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1.4295599999999999</v>
      </c>
      <c r="I25" s="22">
        <f>SUM(H34*0.11)+H34</f>
        <v>1.39194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1.40448</v>
      </c>
      <c r="I26" s="22">
        <f>SUM(H34*0.09)+H34</f>
        <v>1.36686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1.39194</v>
      </c>
      <c r="I27" s="22">
        <f>SUM(H34*0.08)+H34</f>
        <v>1.35432</v>
      </c>
      <c r="J27" s="22">
        <f>SUM(H34*0.08)+H34</f>
        <v>1.35432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1.3794</v>
      </c>
      <c r="I28" s="22">
        <f>SUM(H34*0.07+H34)</f>
        <v>1.34178</v>
      </c>
      <c r="J28" s="22">
        <f>SUM(H34*0.07)+H34</f>
        <v>1.34178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1.39194</v>
      </c>
      <c r="I29" s="22">
        <f>SUM(H34*0.08)+H34</f>
        <v>1.35432</v>
      </c>
      <c r="J29" s="22">
        <f>SUM(H34*0.08)+H34</f>
        <v>1.35432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1.39194</v>
      </c>
      <c r="I30" s="22">
        <f>SUM(H34*0.08)+H34</f>
        <v>1.35432</v>
      </c>
      <c r="J30" s="22">
        <f>SUM(H34*0.08)+H34</f>
        <v>1.35432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1.40448</v>
      </c>
      <c r="I31" s="22">
        <f>SUM(H34*0.09)+H34</f>
        <v>1.36686</v>
      </c>
      <c r="J31" s="22">
        <f>SUM(H34*0.09)+H34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1.40448</v>
      </c>
      <c r="I32" s="22">
        <f>SUM(H34*0.09)+H34</f>
        <v>1.36686</v>
      </c>
      <c r="J32" s="22">
        <f>SUM(H34*0.09)+H34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SUM(INICIO!J51)</f>
        <v>1.4526399999999999</v>
      </c>
      <c r="D34" s="10"/>
      <c r="E34" s="10"/>
      <c r="F34" s="10"/>
      <c r="G34" s="26" t="s">
        <v>5</v>
      </c>
      <c r="H34" s="27">
        <f>SUM(INICIO!P51)</f>
        <v>1.254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1.489752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1.4759579999999999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1.489752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40"/>
  <sheetViews>
    <sheetView showGridLines="0" topLeftCell="A10" workbookViewId="0">
      <selection activeCell="O23" sqref="O23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PROPER(INICIO!D52)</f>
        <v>Calderas Maccio/Gomez/Metalcor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45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45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45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45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45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45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44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SUM(INICIO!K52)</f>
        <v>2098.3384799999999</v>
      </c>
      <c r="D16" s="43"/>
      <c r="E16" s="43"/>
      <c r="F16" s="43"/>
      <c r="G16" s="26" t="s">
        <v>5</v>
      </c>
      <c r="H16" s="42">
        <f>SUM(INICIO!Q52)</f>
        <v>1793.1059999999998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265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SUM(INICIO!J52)</f>
        <v>1.40076</v>
      </c>
      <c r="D34" s="10"/>
      <c r="E34" s="10"/>
      <c r="F34" s="10"/>
      <c r="G34" s="26" t="s">
        <v>5</v>
      </c>
      <c r="H34" s="27">
        <f>SUM(INICIO!P52)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40"/>
  <sheetViews>
    <sheetView showGridLines="0" workbookViewId="0"/>
  </sheetViews>
  <sheetFormatPr baseColWidth="10" defaultRowHeight="15" x14ac:dyDescent="0.25"/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9.5" thickBot="1" x14ac:dyDescent="0.3">
      <c r="A2" s="1"/>
      <c r="B2" s="11" t="s">
        <v>15</v>
      </c>
      <c r="C2" s="1"/>
      <c r="D2" s="263" t="str">
        <f>PROPER(INICIO!D54)</f>
        <v>Gaser/Tecnicorte</v>
      </c>
      <c r="E2" s="264"/>
      <c r="F2" s="264"/>
      <c r="G2" s="265"/>
      <c r="H2" s="1"/>
      <c r="I2" s="1"/>
      <c r="J2" s="1"/>
      <c r="K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2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2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45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44"/>
    </row>
    <row r="8" spans="1:12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45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44"/>
    </row>
    <row r="9" spans="1:12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45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44"/>
    </row>
    <row r="10" spans="1:12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45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44"/>
    </row>
    <row r="11" spans="1:12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45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44"/>
    </row>
    <row r="12" spans="1:12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45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188" t="s">
        <v>209</v>
      </c>
      <c r="L12" s="189">
        <v>-0.1</v>
      </c>
    </row>
    <row r="13" spans="1:12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SUM(H16*0.09)+H16</f>
        <v>1973.099688</v>
      </c>
      <c r="K13" s="44" t="s">
        <v>212</v>
      </c>
    </row>
    <row r="14" spans="1:12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SUM(H16*0.09)+H16</f>
        <v>1973.099688</v>
      </c>
      <c r="K14" s="44"/>
    </row>
    <row r="15" spans="1:12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44"/>
    </row>
    <row r="16" spans="1:12" ht="16.5" thickBot="1" x14ac:dyDescent="0.3">
      <c r="A16" s="1"/>
      <c r="B16" s="14" t="s">
        <v>5</v>
      </c>
      <c r="C16" s="41">
        <f>SUM(INICIO!K54)</f>
        <v>2098.3384799999999</v>
      </c>
      <c r="D16" s="43"/>
      <c r="E16" s="43"/>
      <c r="F16" s="43"/>
      <c r="G16" s="26" t="s">
        <v>5</v>
      </c>
      <c r="H16" s="42">
        <f>SUM(INICIO!Q54)</f>
        <v>1810.1831999999999</v>
      </c>
      <c r="I16" s="43" t="s">
        <v>129</v>
      </c>
      <c r="J16" s="43" t="s">
        <v>52</v>
      </c>
      <c r="K16" s="44"/>
    </row>
    <row r="17" spans="1:11" ht="15.75" x14ac:dyDescent="0.25">
      <c r="A17" s="1"/>
      <c r="B17" s="10"/>
      <c r="C17" s="43"/>
      <c r="D17" s="43"/>
      <c r="E17" s="43"/>
      <c r="F17" s="43"/>
      <c r="G17" s="10"/>
      <c r="H17" s="10"/>
      <c r="I17" s="10">
        <v>1045</v>
      </c>
      <c r="J17" s="10">
        <v>2.4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SUM(H34*0.09)+H34</f>
        <v>1.317156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SUM(H34*0.09)+H34</f>
        <v>1.317156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SUM(INICIO!J54)</f>
        <v>1.40076</v>
      </c>
      <c r="D34" s="10"/>
      <c r="E34" s="10"/>
      <c r="F34" s="10"/>
      <c r="G34" s="26" t="s">
        <v>5</v>
      </c>
      <c r="H34" s="27">
        <f>SUM(INICIO!P54)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46"/>
  <sheetViews>
    <sheetView showGridLines="0" topLeftCell="A7" zoomScale="120" zoomScaleNormal="12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PROPER(INICIO!D53)</f>
        <v>Hurlinmet/La Plata /Secaire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45"/>
      <c r="G7" s="18">
        <v>2</v>
      </c>
      <c r="H7" s="40">
        <f>SUM(H16*0.14)+H16</f>
        <v>2141.4808800000001</v>
      </c>
      <c r="I7" s="40">
        <f>SUM(H16*0.11)+H16</f>
        <v>2085.1261199999999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45"/>
      <c r="G8" s="18">
        <v>2.5</v>
      </c>
      <c r="H8" s="40">
        <f>SUM(H16*0.12)+H16</f>
        <v>2103.91104</v>
      </c>
      <c r="I8" s="40">
        <f>SUM(H16*0.09)+H16</f>
        <v>2047.55628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45"/>
      <c r="G9" s="18">
        <v>3.17</v>
      </c>
      <c r="H9" s="40">
        <f>SUM(H16*0.11)+H16</f>
        <v>2085.1261199999999</v>
      </c>
      <c r="I9" s="40">
        <f>SUM(H16*0.08)+H16</f>
        <v>2028.77136</v>
      </c>
      <c r="J9" s="40">
        <f>SUM(H16*0.08)+H16</f>
        <v>2028.77136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45"/>
      <c r="G10" s="18" t="s">
        <v>4</v>
      </c>
      <c r="H10" s="40">
        <f>SUM(H16*0.1)+H16</f>
        <v>2066.3411999999998</v>
      </c>
      <c r="I10" s="40">
        <f>SUM(H16*0.07+H16)</f>
        <v>2009.9864399999999</v>
      </c>
      <c r="J10" s="40">
        <f>SUM(H16*0.07)+H16</f>
        <v>2009.9864399999999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45"/>
      <c r="G11" s="18">
        <v>6.35</v>
      </c>
      <c r="H11" s="40">
        <f>SUM(H16*0.11)+H16</f>
        <v>2085.1261199999999</v>
      </c>
      <c r="I11" s="40">
        <f>SUM(H16*0.08)+H16</f>
        <v>2028.77136</v>
      </c>
      <c r="J11" s="40">
        <f>SUM(H16*0.08)+H16</f>
        <v>2028.77136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45"/>
      <c r="G12" s="18">
        <v>8</v>
      </c>
      <c r="H12" s="40">
        <f>SUM(H16*0.11)+H16</f>
        <v>2085.1261199999999</v>
      </c>
      <c r="I12" s="40">
        <f>SUM(H16*0.08)+H16</f>
        <v>2028.77136</v>
      </c>
      <c r="J12" s="40">
        <f>SUM(H16*0.08)+H16</f>
        <v>2028.77136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2103.91104</v>
      </c>
      <c r="I13" s="40">
        <f>SUM(H16*0.09)+H16</f>
        <v>2047.55628</v>
      </c>
      <c r="J13" s="40">
        <f>SUM(H16*0.1)+H16</f>
        <v>2066.3411999999998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2103.91104</v>
      </c>
      <c r="I14" s="40">
        <f>SUM(H16*0.09)+H16</f>
        <v>2047.55628</v>
      </c>
      <c r="J14" s="40">
        <f>SUM(H16*0.1)+H16</f>
        <v>2066.3411999999998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SUM(INICIO!K53)</f>
        <v>2176.0547200000001</v>
      </c>
      <c r="D16" s="43"/>
      <c r="E16" s="43"/>
      <c r="F16" s="43"/>
      <c r="G16" s="26" t="s">
        <v>5</v>
      </c>
      <c r="H16" s="42">
        <f>SUM(INICIO!Q53)</f>
        <v>1878.492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2231.6484959999998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2210.9850839999999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2231.6484959999998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1.4295599999999999</v>
      </c>
      <c r="I25" s="22">
        <f>SUM(H34*0.11)+H34</f>
        <v>1.39194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1.40448</v>
      </c>
      <c r="I26" s="22">
        <f>SUM(H34*0.09)+H34</f>
        <v>1.36686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1.39194</v>
      </c>
      <c r="I27" s="22">
        <f>SUM(H34*0.08)+H34</f>
        <v>1.35432</v>
      </c>
      <c r="J27" s="22">
        <f>SUM(H34*0.08)+H34</f>
        <v>1.35432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1.3794</v>
      </c>
      <c r="I28" s="22">
        <f>SUM(H34*0.07+H34)</f>
        <v>1.34178</v>
      </c>
      <c r="J28" s="22">
        <f>SUM(H34*0.07)+H34</f>
        <v>1.34178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1.39194</v>
      </c>
      <c r="I29" s="22">
        <f>SUM(H34*0.08)+H34</f>
        <v>1.35432</v>
      </c>
      <c r="J29" s="22">
        <f>SUM(H34*0.08)+H34</f>
        <v>1.35432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1.39194</v>
      </c>
      <c r="I30" s="22">
        <f>SUM(H34*0.08)+H34</f>
        <v>1.35432</v>
      </c>
      <c r="J30" s="22">
        <f>SUM(H34*0.08)+H34</f>
        <v>1.35432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1.40448</v>
      </c>
      <c r="I31" s="22">
        <f>SUM(H34*0.09)+H34</f>
        <v>1.36686</v>
      </c>
      <c r="J31" s="22">
        <f>SUM(H34*0.1)+H34</f>
        <v>1.3794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1.40448</v>
      </c>
      <c r="I32" s="22">
        <f>SUM(H34*0.09)+H34</f>
        <v>1.36686</v>
      </c>
      <c r="J32" s="22">
        <f>SUM(H34*0.1)+H34</f>
        <v>1.3794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SUM(INICIO!J53)</f>
        <v>1.4526399999999999</v>
      </c>
      <c r="D34" s="10"/>
      <c r="E34" s="10"/>
      <c r="F34" s="10"/>
      <c r="G34" s="26" t="s">
        <v>5</v>
      </c>
      <c r="H34" s="27">
        <f>SUM(INICIO!P53)</f>
        <v>1.254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1.489752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1.4759579999999999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1.489752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6" spans="2:11" x14ac:dyDescent="0.25">
      <c r="B46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40"/>
  <sheetViews>
    <sheetView showGridLines="0" workbookViewId="0">
      <selection activeCell="P20" sqref="P20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PROPER(INICIO!D55)</f>
        <v>Vascos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SUM(H16*0.09)+H16</f>
        <v>2028.9421319999997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SUM(H16*0.09)+H16</f>
        <v>2028.9421319999997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SUM(INICIO!K55)</f>
        <v>2176.0547200000001</v>
      </c>
      <c r="D16" s="43"/>
      <c r="E16" s="43"/>
      <c r="F16" s="10"/>
      <c r="G16" s="26" t="s">
        <v>5</v>
      </c>
      <c r="H16" s="42">
        <f>SUM(INICIO!Q55)</f>
        <v>1861.4147999999998</v>
      </c>
      <c r="I16" s="43"/>
      <c r="J16" s="43" t="s">
        <v>220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SUM(INICIO!J55)</f>
        <v>1.4526399999999999</v>
      </c>
      <c r="D34" s="10"/>
      <c r="E34" s="10"/>
      <c r="F34" s="10"/>
      <c r="G34" s="26" t="s">
        <v>5</v>
      </c>
      <c r="H34" s="27">
        <f>SUM(INICIO!P55)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PROPER(INICIO!D56)</f>
        <v>Gutierrez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45"/>
      <c r="G7" s="18">
        <v>2</v>
      </c>
      <c r="H7" s="40">
        <f>SUM(H16*0.14)+H16</f>
        <v>2083.0768559999997</v>
      </c>
      <c r="I7" s="40">
        <f>SUM(H16*0.11)+H16</f>
        <v>2028.2590439999999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45"/>
      <c r="G8" s="18">
        <v>2.5</v>
      </c>
      <c r="H8" s="40">
        <f>SUM(H16*0.12)+H16</f>
        <v>2046.5316479999999</v>
      </c>
      <c r="I8" s="40">
        <f>SUM(H16*0.09)+H16</f>
        <v>1991.7138359999999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45"/>
      <c r="G9" s="18">
        <v>3.17</v>
      </c>
      <c r="H9" s="40">
        <f>SUM(H16*0.11)+H16</f>
        <v>2028.2590439999999</v>
      </c>
      <c r="I9" s="40">
        <f>SUM(H16*0.08)+H16</f>
        <v>1973.4412319999999</v>
      </c>
      <c r="J9" s="40">
        <f>SUM(H16*0.08)+H16</f>
        <v>1973.4412319999999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45"/>
      <c r="G10" s="18" t="s">
        <v>4</v>
      </c>
      <c r="H10" s="40">
        <f>SUM(H16*0.1)+H16</f>
        <v>2009.9864399999999</v>
      </c>
      <c r="I10" s="40">
        <f>SUM(H16*0.07+H16)</f>
        <v>1955.1686279999999</v>
      </c>
      <c r="J10" s="40">
        <f>SUM(H16*0.07)+H16</f>
        <v>1955.1686279999999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45"/>
      <c r="G11" s="18">
        <v>6.35</v>
      </c>
      <c r="H11" s="40">
        <f>SUM(H16*0.11)+H16</f>
        <v>2028.2590439999999</v>
      </c>
      <c r="I11" s="40">
        <f>SUM(H16*0.08)+H16</f>
        <v>1973.4412319999999</v>
      </c>
      <c r="J11" s="40">
        <f>SUM(H16*0.08)+H16</f>
        <v>1973.4412319999999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45"/>
      <c r="G12" s="18">
        <v>8</v>
      </c>
      <c r="H12" s="40">
        <f>SUM(H16*0.11)+H16</f>
        <v>2028.2590439999999</v>
      </c>
      <c r="I12" s="40">
        <f>SUM(H16*0.08)+H16</f>
        <v>1973.4412319999999</v>
      </c>
      <c r="J12" s="40">
        <f>SUM(H16*0.08)+H16</f>
        <v>1973.4412319999999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2046.5316479999999</v>
      </c>
      <c r="I13" s="40">
        <f>SUM(H16*0.09)+H16</f>
        <v>1991.7138359999999</v>
      </c>
      <c r="J13" s="40">
        <f>SUM(H16*0.1)+H16</f>
        <v>2009.9864399999999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2046.5316479999999</v>
      </c>
      <c r="I14" s="40">
        <f>SUM(H16*0.09)+H16</f>
        <v>1991.7138359999999</v>
      </c>
      <c r="J14" s="40">
        <f>SUM(H16*0.1)+H16</f>
        <v>2009.9864399999999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SUM(INICIO!K56)</f>
        <v>2137.1965999999998</v>
      </c>
      <c r="D16" s="43"/>
      <c r="E16" s="43"/>
      <c r="F16" s="43"/>
      <c r="G16" s="26" t="s">
        <v>5</v>
      </c>
      <c r="H16" s="42">
        <f>SUM(INICIO!Q56)</f>
        <v>1827.2603999999999</v>
      </c>
      <c r="I16" s="43"/>
      <c r="J16" s="43"/>
      <c r="K16" s="9"/>
    </row>
    <row r="17" spans="1:11" ht="15.75" x14ac:dyDescent="0.25">
      <c r="A17" s="1"/>
      <c r="B17" s="10"/>
      <c r="C17" s="43"/>
      <c r="D17" s="43"/>
      <c r="E17" s="43"/>
      <c r="F17" s="43"/>
      <c r="G17" s="10"/>
      <c r="H17" s="10"/>
      <c r="I17" s="10"/>
      <c r="J17" s="216" t="s">
        <v>284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2170.7853551999997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2150.6854908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2170.7853551999997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1.3905719999999999</v>
      </c>
      <c r="I25" s="22">
        <f>SUM(H34*0.11)+H34</f>
        <v>1.3539779999999999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1.3661760000000001</v>
      </c>
      <c r="I26" s="22">
        <f>SUM(H34*0.09)+H34</f>
        <v>1.329582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1.3539779999999999</v>
      </c>
      <c r="I27" s="22">
        <f>SUM(H34*0.08)+H34</f>
        <v>1.3173840000000001</v>
      </c>
      <c r="J27" s="22">
        <f>SUM(H34*0.08)+H34</f>
        <v>1.3173840000000001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1.34178</v>
      </c>
      <c r="I28" s="22">
        <f>SUM(H34*0.07+H34)</f>
        <v>1.305186</v>
      </c>
      <c r="J28" s="22">
        <f>SUM(H34*0.07)+H34</f>
        <v>1.305186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1.3539779999999999</v>
      </c>
      <c r="I29" s="22">
        <f>SUM(H34*0.08)+H34</f>
        <v>1.3173840000000001</v>
      </c>
      <c r="J29" s="22">
        <f>SUM(H34*0.08)+H34</f>
        <v>1.3173840000000001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1.3539779999999999</v>
      </c>
      <c r="I30" s="22">
        <f>SUM(H34*0.08)+H34</f>
        <v>1.3173840000000001</v>
      </c>
      <c r="J30" s="22">
        <f>SUM(H34*0.08)+H34</f>
        <v>1.3173840000000001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1.3661760000000001</v>
      </c>
      <c r="I31" s="22">
        <f>SUM(H34*0.09)+H34</f>
        <v>1.329582</v>
      </c>
      <c r="J31" s="22">
        <f>SUM(H34*0.1)+H34</f>
        <v>1.34178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1.3661760000000001</v>
      </c>
      <c r="I32" s="22">
        <f>SUM(H34*0.09)+H34</f>
        <v>1.329582</v>
      </c>
      <c r="J32" s="22">
        <f>SUM(H34*0.1)+H34</f>
        <v>1.34178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SUM(INICIO!J56)</f>
        <v>1.4266999999999999</v>
      </c>
      <c r="D34" s="10"/>
      <c r="E34" s="10"/>
      <c r="F34" s="10"/>
      <c r="G34" s="26" t="s">
        <v>5</v>
      </c>
      <c r="H34" s="27">
        <f>SUM(INICIO!P56)</f>
        <v>1.2198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1.4491224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1.4357046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1.4491224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PROPER(INICIO!D57)</f>
        <v>Mastricchio/Diegez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2160.9488879999999</v>
      </c>
      <c r="I7" s="40">
        <f>SUM(H16*0.11)+H16</f>
        <v>2104.0818119999994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2123.0375039999994</v>
      </c>
      <c r="I8" s="40">
        <f>SUM(H16*0.09)+H16</f>
        <v>2066.1704279999994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2104.0818119999994</v>
      </c>
      <c r="I9" s="40">
        <f>SUM(H16*0.08)+H16</f>
        <v>2047.2147359999997</v>
      </c>
      <c r="J9" s="40">
        <f>SUM(H16*0.08)+H16</f>
        <v>2047.2147359999997</v>
      </c>
      <c r="K9" s="44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2085.1261199999999</v>
      </c>
      <c r="I10" s="40">
        <f>SUM(H16*0.07+H16)</f>
        <v>2028.2590439999997</v>
      </c>
      <c r="J10" s="40">
        <f>SUM(H16*0.07)+H16</f>
        <v>2028.2590439999997</v>
      </c>
      <c r="K10" s="44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2104.0818119999994</v>
      </c>
      <c r="I11" s="40">
        <f>SUM(H16*0.08)+H16</f>
        <v>2047.2147359999997</v>
      </c>
      <c r="J11" s="40">
        <f>SUM(H16*0.08)+H16</f>
        <v>2047.2147359999997</v>
      </c>
      <c r="K11" s="44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2104.0818119999994</v>
      </c>
      <c r="I12" s="40">
        <f>SUM(H16*0.08)+H16</f>
        <v>2047.2147359999997</v>
      </c>
      <c r="J12" s="40">
        <f>SUM(H16*0.08)+H16</f>
        <v>2047.2147359999997</v>
      </c>
      <c r="K12" s="44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2123.0375039999994</v>
      </c>
      <c r="I13" s="40">
        <f>SUM(H16*0.09)+H16</f>
        <v>2066.1704279999994</v>
      </c>
      <c r="J13" s="40">
        <f>SUM(H16*0.1)+H16</f>
        <v>2085.1261199999999</v>
      </c>
      <c r="K13" s="44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2123.0375039999994</v>
      </c>
      <c r="I14" s="40">
        <f>SUM(H16*0.09)+H16</f>
        <v>2066.1704279999994</v>
      </c>
      <c r="J14" s="40">
        <f>SUM(H16*0.1)+H16</f>
        <v>2085.1261199999999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SUM(INICIO!K57)</f>
        <v>2176.0547200000001</v>
      </c>
      <c r="D16" s="43"/>
      <c r="E16" s="43"/>
      <c r="F16" s="10"/>
      <c r="G16" s="26" t="s">
        <v>5</v>
      </c>
      <c r="H16" s="42">
        <f>SUM(INICIO!Q57)</f>
        <v>1895.5691999999997</v>
      </c>
      <c r="I16" s="43"/>
      <c r="J16" s="43"/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43"/>
      <c r="I17" s="43"/>
      <c r="J17" s="43"/>
      <c r="K17" s="44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2251.9362095999995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2231.0849483999996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2251.9362095999995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1.4425559999999999</v>
      </c>
      <c r="I25" s="22">
        <f>SUM(H34*0.11)+H34</f>
        <v>1.4045939999999999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1.4172479999999998</v>
      </c>
      <c r="I26" s="22">
        <f>SUM(H34*0.09)+H34</f>
        <v>1.3792859999999998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1.4045939999999999</v>
      </c>
      <c r="I27" s="22">
        <f>SUM(H34*0.08)+H34</f>
        <v>1.3666319999999998</v>
      </c>
      <c r="J27" s="22">
        <f>SUM(H34*0.08)+H34</f>
        <v>1.3666319999999998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1.39194</v>
      </c>
      <c r="I28" s="22">
        <f>SUM(H34*0.07+H34)</f>
        <v>1.3539779999999999</v>
      </c>
      <c r="J28" s="22">
        <f>SUM(H34*0.07)+H34</f>
        <v>1.3539779999999999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1.4045939999999999</v>
      </c>
      <c r="I29" s="22">
        <f>SUM(H34*0.08)+H34</f>
        <v>1.3666319999999998</v>
      </c>
      <c r="J29" s="22">
        <f>SUM(H34*0.08)+H34</f>
        <v>1.3666319999999998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1.4045939999999999</v>
      </c>
      <c r="I30" s="22">
        <f>SUM(H34*0.08)+H34</f>
        <v>1.3666319999999998</v>
      </c>
      <c r="J30" s="22">
        <f>SUM(H34*0.08)+H34</f>
        <v>1.3666319999999998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1.4172479999999998</v>
      </c>
      <c r="I31" s="22">
        <f>SUM(H34*0.09)+H34</f>
        <v>1.3792859999999998</v>
      </c>
      <c r="J31" s="22">
        <f>SUM(H34*0.1)+H34</f>
        <v>1.39194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1.4172479999999998</v>
      </c>
      <c r="I32" s="22">
        <f>SUM(H34*0.09)+H34</f>
        <v>1.3792859999999998</v>
      </c>
      <c r="J32" s="22">
        <f>SUM(H34*0.1)+H34</f>
        <v>1.39194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SUM(INICIO!J57)</f>
        <v>1.4526399999999999</v>
      </c>
      <c r="D34" s="10"/>
      <c r="E34" s="10"/>
      <c r="F34" s="10"/>
      <c r="G34" s="26" t="s">
        <v>5</v>
      </c>
      <c r="H34" s="27">
        <f>SUM(INICIO!P57)</f>
        <v>1.2653999999999999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1.5032951999999997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1.4893757999999999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1.5032951999999997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PROPER(INICIO!D58)</f>
        <v>Anahi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2141.4808800000001</v>
      </c>
      <c r="I7" s="40">
        <f>SUM(H16*0.11)+H16</f>
        <v>2085.1261199999999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2103.91104</v>
      </c>
      <c r="I8" s="40">
        <f>SUM(H16*0.09)+H16</f>
        <v>2047.55628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2085.1261199999999</v>
      </c>
      <c r="I9" s="40">
        <f>SUM(H16*0.08)+H16</f>
        <v>2028.77136</v>
      </c>
      <c r="J9" s="40">
        <f>SUM(H16*0.08)+H16</f>
        <v>2028.77136</v>
      </c>
      <c r="K9" s="44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2066.3411999999998</v>
      </c>
      <c r="I10" s="40">
        <f>SUM(H16*0.07+H16)</f>
        <v>2009.9864399999999</v>
      </c>
      <c r="J10" s="40">
        <f>SUM(H16*0.07)+H16</f>
        <v>2009.9864399999999</v>
      </c>
      <c r="K10" s="44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2085.1261199999999</v>
      </c>
      <c r="I11" s="40">
        <f>SUM(H16*0.08)+H16</f>
        <v>2028.77136</v>
      </c>
      <c r="J11" s="40">
        <f>SUM(H16*0.08)+H16</f>
        <v>2028.77136</v>
      </c>
      <c r="K11" s="44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2085.1261199999999</v>
      </c>
      <c r="I12" s="40">
        <f>SUM(H16*0.08)+H16</f>
        <v>2028.77136</v>
      </c>
      <c r="J12" s="40">
        <f>SUM(H16*0.08)+H16</f>
        <v>2028.77136</v>
      </c>
      <c r="K12" s="44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2103.91104</v>
      </c>
      <c r="I13" s="40">
        <f>SUM(H16*0.09)+H16</f>
        <v>2047.55628</v>
      </c>
      <c r="J13" s="40">
        <f>SUM(H16*0.1)+H16</f>
        <v>2066.3411999999998</v>
      </c>
      <c r="K13" s="44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2103.91104</v>
      </c>
      <c r="I14" s="40">
        <f>SUM(H16*0.09)+H16</f>
        <v>2047.55628</v>
      </c>
      <c r="J14" s="40">
        <f>SUM(H16*0.1)+H16</f>
        <v>2066.3411999999998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SUM(INICIO!K58)</f>
        <v>2176.0547200000001</v>
      </c>
      <c r="D16" s="43"/>
      <c r="E16" s="43"/>
      <c r="F16" s="10"/>
      <c r="G16" s="26" t="s">
        <v>5</v>
      </c>
      <c r="H16" s="42">
        <f>SUM(INICIO!Q58)</f>
        <v>1878.492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2231.6484959999998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2210.9850839999999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2231.6484959999998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1.4295599999999999</v>
      </c>
      <c r="I25" s="22">
        <f>SUM(H34*0.11)+H34</f>
        <v>1.39194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1.40448</v>
      </c>
      <c r="I26" s="22">
        <f>SUM(H34*0.09)+H34</f>
        <v>1.36686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1.39194</v>
      </c>
      <c r="I27" s="22">
        <f>SUM(H34*0.08)+H34</f>
        <v>1.35432</v>
      </c>
      <c r="J27" s="22">
        <f>SUM(H34*0.08)+H34</f>
        <v>1.35432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1.3794</v>
      </c>
      <c r="I28" s="22">
        <f>SUM(H34*0.07+H34)</f>
        <v>1.34178</v>
      </c>
      <c r="J28" s="22">
        <f>SUM(H34*0.07)+H34</f>
        <v>1.34178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1.39194</v>
      </c>
      <c r="I29" s="22">
        <f>SUM(H34*0.08)+H34</f>
        <v>1.35432</v>
      </c>
      <c r="J29" s="22">
        <f>SUM(H34*0.08)+H34</f>
        <v>1.35432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1.39194</v>
      </c>
      <c r="I30" s="22">
        <f>SUM(H34*0.08)+H34</f>
        <v>1.35432</v>
      </c>
      <c r="J30" s="22">
        <f>SUM(H34*0.08)+H34</f>
        <v>1.35432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1.40448</v>
      </c>
      <c r="I31" s="22">
        <f>SUM(H34*0.09)+H34</f>
        <v>1.36686</v>
      </c>
      <c r="J31" s="22">
        <f>SUM(H34*0.1)+H34</f>
        <v>1.3794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1.40448</v>
      </c>
      <c r="I32" s="22">
        <f>SUM(H34*0.09)+H34</f>
        <v>1.36686</v>
      </c>
      <c r="J32" s="22">
        <f>SUM(H34*0.1)+H34</f>
        <v>1.3794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SUM(INICIO!J58)</f>
        <v>1.4526399999999999</v>
      </c>
      <c r="D34" s="10"/>
      <c r="E34" s="10"/>
      <c r="F34" s="10"/>
      <c r="G34" s="26" t="s">
        <v>5</v>
      </c>
      <c r="H34" s="27">
        <f>SUM(INICIO!P58)</f>
        <v>1.254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1.489752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1.4759579999999999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1.489752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PROPER(INICIO!D59)</f>
        <v>Toral/Tover/Blasevich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44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44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44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44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SUM(H16*0.09)+H16</f>
        <v>2010.3279839999998</v>
      </c>
      <c r="K13" s="44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SUM(INICIO!K59)</f>
        <v>2137.1965999999998</v>
      </c>
      <c r="D16" s="43"/>
      <c r="E16" s="43"/>
      <c r="F16" s="10"/>
      <c r="G16" s="26" t="s">
        <v>5</v>
      </c>
      <c r="H16" s="42">
        <f>SUM(INICIO!Q59)</f>
        <v>1844.3375999999998</v>
      </c>
      <c r="I16" s="43"/>
      <c r="J16" s="43"/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43"/>
      <c r="I17" s="43"/>
      <c r="J17" s="43"/>
      <c r="K17" s="44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SUM(INICIO!J59)</f>
        <v>1.4266999999999999</v>
      </c>
      <c r="D34" s="10"/>
      <c r="E34" s="10"/>
      <c r="F34" s="10"/>
      <c r="G34" s="26" t="s">
        <v>5</v>
      </c>
      <c r="H34" s="27">
        <f>SUM(INICIO!P59)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PROPER(INICIO!D60)</f>
        <v>Kappa/Alyco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SUM(H16*0.09)+H16</f>
        <v>1954.4855399999997</v>
      </c>
      <c r="K13" s="44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SUM(H16*0.09)+H16</f>
        <v>1954.4855399999997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SUM(INICIO!K60)</f>
        <v>2098.3384799999999</v>
      </c>
      <c r="D16" s="43"/>
      <c r="E16" s="43"/>
      <c r="F16" s="10"/>
      <c r="G16" s="26" t="s">
        <v>5</v>
      </c>
      <c r="H16" s="42">
        <f>SUM(INICIO!Q60)</f>
        <v>1793.1059999999998</v>
      </c>
      <c r="I16" s="43"/>
      <c r="J16" s="43" t="s">
        <v>290</v>
      </c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SUM(INICIO!J60)</f>
        <v>1.40076</v>
      </c>
      <c r="D34" s="10"/>
      <c r="E34" s="10"/>
      <c r="F34" s="10"/>
      <c r="G34" s="26" t="s">
        <v>5</v>
      </c>
      <c r="H34" s="27">
        <f>SUM(INICIO!P60)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PROPER(INICIO!D61)</f>
        <v>Botta/Dediago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2083.0768559999997</v>
      </c>
      <c r="I7" s="40">
        <f>SUM(H16*0.11)+H16</f>
        <v>2028.2590439999999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2046.5316479999999</v>
      </c>
      <c r="I8" s="40">
        <f>SUM(H16*0.09)+H16</f>
        <v>1991.7138359999999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2028.2590439999999</v>
      </c>
      <c r="I9" s="40">
        <f>SUM(H16*0.08)+H16</f>
        <v>1973.4412319999999</v>
      </c>
      <c r="J9" s="40">
        <f>SUM(H16*0.08)+H16</f>
        <v>1973.4412319999999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2009.9864399999999</v>
      </c>
      <c r="I10" s="40">
        <f>SUM(H16*0.07+H16)</f>
        <v>1955.1686279999999</v>
      </c>
      <c r="J10" s="40">
        <f>SUM(H16*0.07)+H16</f>
        <v>1955.1686279999999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2028.2590439999999</v>
      </c>
      <c r="I11" s="40">
        <f>SUM(H16*0.08)+H16</f>
        <v>1973.4412319999999</v>
      </c>
      <c r="J11" s="40">
        <f>SUM(H16*0.08)+H16</f>
        <v>1973.4412319999999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2028.2590439999999</v>
      </c>
      <c r="I12" s="40">
        <f>SUM(H16*0.08)+H16</f>
        <v>1973.4412319999999</v>
      </c>
      <c r="J12" s="40">
        <f>SUM(H16*0.08)+H16</f>
        <v>1973.4412319999999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2046.5316479999999</v>
      </c>
      <c r="I13" s="40">
        <f>SUM(H16*0.09)+H16</f>
        <v>1991.7138359999999</v>
      </c>
      <c r="J13" s="40">
        <f>SUM(H16*0.1)+H16</f>
        <v>2009.9864399999999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2046.5316479999999</v>
      </c>
      <c r="I14" s="40">
        <f>SUM(H16*0.09)+H16</f>
        <v>1991.7138359999999</v>
      </c>
      <c r="J14" s="40">
        <f>SUM(H16*0.1)+H16</f>
        <v>2009.9864399999999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SUM(INICIO!K61)</f>
        <v>2137.1965999999998</v>
      </c>
      <c r="D16" s="43"/>
      <c r="E16" s="43"/>
      <c r="F16" s="10"/>
      <c r="G16" s="26" t="s">
        <v>5</v>
      </c>
      <c r="H16" s="42">
        <f>SUM(INICIO!Q61)</f>
        <v>1827.2603999999999</v>
      </c>
      <c r="I16" s="43"/>
      <c r="J16" s="227" t="s">
        <v>329</v>
      </c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2170.7853551999997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2150.6854908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2170.7853551999997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1.3905719999999999</v>
      </c>
      <c r="I25" s="22">
        <f>SUM(H34*0.11)+H34</f>
        <v>1.3539779999999999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1.3661760000000001</v>
      </c>
      <c r="I26" s="22">
        <f>SUM(H34*0.09)+H34</f>
        <v>1.329582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1.3539779999999999</v>
      </c>
      <c r="I27" s="22">
        <f>SUM(H34*0.08)+H34</f>
        <v>1.3173840000000001</v>
      </c>
      <c r="J27" s="22">
        <f>SUM(H34*0.08)+H34</f>
        <v>1.3173840000000001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1.34178</v>
      </c>
      <c r="I28" s="22">
        <f>SUM(H34*0.07+H34)</f>
        <v>1.305186</v>
      </c>
      <c r="J28" s="22">
        <f>SUM(H34*0.07)+H34</f>
        <v>1.305186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1.3539779999999999</v>
      </c>
      <c r="I29" s="22">
        <f>SUM(H34*0.08)+H34</f>
        <v>1.3173840000000001</v>
      </c>
      <c r="J29" s="22">
        <f>SUM(H34*0.08)+H34</f>
        <v>1.3173840000000001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1.3539779999999999</v>
      </c>
      <c r="I30" s="22">
        <f>SUM(H34*0.08)+H34</f>
        <v>1.3173840000000001</v>
      </c>
      <c r="J30" s="22">
        <f>SUM(H34*0.08)+H34</f>
        <v>1.3173840000000001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1.3661760000000001</v>
      </c>
      <c r="I31" s="22">
        <f>SUM(H34*0.09)+H34</f>
        <v>1.329582</v>
      </c>
      <c r="J31" s="22">
        <f>SUM(H34*0.1)+H34</f>
        <v>1.34178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1.3661760000000001</v>
      </c>
      <c r="I32" s="22">
        <f>SUM(H34*0.09)+H34</f>
        <v>1.329582</v>
      </c>
      <c r="J32" s="22">
        <f>SUM(H34*0.1)+H34</f>
        <v>1.34178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SUM(INICIO!J61)</f>
        <v>1.4266999999999999</v>
      </c>
      <c r="D34" s="10"/>
      <c r="E34" s="10"/>
      <c r="F34" s="10"/>
      <c r="G34" s="26" t="s">
        <v>5</v>
      </c>
      <c r="H34" s="27">
        <f>SUM(INICIO!P61)</f>
        <v>1.2198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1.4491224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1.4357046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1.4491224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PROPER(INICIO!D62)</f>
        <v>Condorcoc/Tecnocort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1966.268808</v>
      </c>
      <c r="I7" s="40">
        <f>SUM(H16*0.11)+H16</f>
        <v>1914.5248919999999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1931.772864</v>
      </c>
      <c r="I8" s="40">
        <f>SUM(H16*0.09)+H16</f>
        <v>1880.0289479999999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1914.5248919999999</v>
      </c>
      <c r="I9" s="40">
        <f>SUM(H16*0.08)+H16</f>
        <v>1862.780976</v>
      </c>
      <c r="J9" s="40">
        <f>SUM(H16*0.08)+H16</f>
        <v>1862.780976</v>
      </c>
      <c r="K9" s="44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1897.27692</v>
      </c>
      <c r="I10" s="40">
        <f>SUM(H16*0.07+H16)</f>
        <v>1845.5330039999999</v>
      </c>
      <c r="J10" s="40">
        <f>SUM(H16*0.07)+H16</f>
        <v>1845.5330039999999</v>
      </c>
      <c r="K10" s="44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1914.5248919999999</v>
      </c>
      <c r="I11" s="40">
        <f>SUM(H16*0.08)+H16</f>
        <v>1862.780976</v>
      </c>
      <c r="J11" s="40">
        <f>SUM(H16*0.08)+H16</f>
        <v>1862.780976</v>
      </c>
      <c r="K11" s="44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1914.5248919999999</v>
      </c>
      <c r="I12" s="40">
        <f>SUM(H16*0.08)+H16</f>
        <v>1862.780976</v>
      </c>
      <c r="J12" s="40">
        <f>SUM(H16*0.08)+H16</f>
        <v>1862.780976</v>
      </c>
      <c r="K12" s="44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1931.772864</v>
      </c>
      <c r="I13" s="40">
        <f>SUM(H16*0.09)+H16</f>
        <v>1880.0289479999999</v>
      </c>
      <c r="J13" s="40">
        <f>SUM(H16*0.09)+H16</f>
        <v>1880.0289479999999</v>
      </c>
      <c r="K13" s="44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1931.772864</v>
      </c>
      <c r="I14" s="40">
        <f>SUM(H16*0.09)+H16</f>
        <v>1880.0289479999999</v>
      </c>
      <c r="J14" s="40">
        <f>SUM(H16*0.09)+H16</f>
        <v>1880.0289479999999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SUM(INICIO!K62)</f>
        <v>2059.48036</v>
      </c>
      <c r="D16" s="43"/>
      <c r="E16" s="43"/>
      <c r="F16" s="10"/>
      <c r="G16" s="26" t="s">
        <v>5</v>
      </c>
      <c r="H16" s="42">
        <f>SUM(INICIO!Q62)</f>
        <v>1724.7972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254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2049.0590735999999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2030.0863043999998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2049.0590735999999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1.3125960000000001</v>
      </c>
      <c r="I25" s="22">
        <f>SUM(H34*0.11)+H34</f>
        <v>1.278054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1.289568</v>
      </c>
      <c r="I26" s="22">
        <f>SUM(H34*0.09)+H34</f>
        <v>1.255026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1.278054</v>
      </c>
      <c r="I27" s="22">
        <f>SUM(H34*0.08)+H34</f>
        <v>1.243512</v>
      </c>
      <c r="J27" s="22">
        <f>SUM(H34*0.08)+H34</f>
        <v>1.243512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1.26654</v>
      </c>
      <c r="I28" s="22">
        <f>SUM(H34*0.07+H34)</f>
        <v>1.2319979999999999</v>
      </c>
      <c r="J28" s="22">
        <f>SUM(H34*0.07)+H34</f>
        <v>1.2319979999999999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1.278054</v>
      </c>
      <c r="I29" s="22">
        <f>SUM(H34*0.08)+H34</f>
        <v>1.243512</v>
      </c>
      <c r="J29" s="22">
        <f>SUM(H34*0.08)+H34</f>
        <v>1.243512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1.278054</v>
      </c>
      <c r="I30" s="22">
        <f>SUM(H34*0.08)+H34</f>
        <v>1.243512</v>
      </c>
      <c r="J30" s="22">
        <f>SUM(H34*0.08)+H34</f>
        <v>1.243512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1.289568</v>
      </c>
      <c r="I31" s="22">
        <f>SUM(H34*0.09)+H34</f>
        <v>1.255026</v>
      </c>
      <c r="J31" s="22">
        <f>SUM(H34*0.1)+H34</f>
        <v>1.26654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1.289568</v>
      </c>
      <c r="I32" s="22">
        <f>SUM(H34*0.09)+H34</f>
        <v>1.255026</v>
      </c>
      <c r="J32" s="22">
        <f>SUM(H34*0.1)+H34</f>
        <v>1.26654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SUM(INICIO!J62)</f>
        <v>1.3748199999999999</v>
      </c>
      <c r="D34" s="10"/>
      <c r="E34" s="10"/>
      <c r="F34" s="10"/>
      <c r="G34" s="26" t="s">
        <v>5</v>
      </c>
      <c r="H34" s="27">
        <f>SUM(INICIO!P62)</f>
        <v>1.1514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1.3678631999999999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1.3551978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1.3678631999999999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42"/>
  <sheetViews>
    <sheetView showGridLines="0" zoomScale="110" zoomScaleNormal="11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PROPER(INICIO!D63)</f>
        <v>Zarate/Martino/Ocho Block/Seguridad Hm/Monaco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45" t="s">
        <v>52</v>
      </c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45" t="s">
        <v>52</v>
      </c>
      <c r="G7" s="18">
        <v>2</v>
      </c>
      <c r="H7" s="40">
        <f>SUM(H16*0.14)+H16</f>
        <v>2005.2048239999999</v>
      </c>
      <c r="I7" s="40">
        <f>SUM(H16*0.11)+H16</f>
        <v>1952.4362759999999</v>
      </c>
      <c r="J7" s="40" t="s">
        <v>2</v>
      </c>
      <c r="K7" s="224" t="s">
        <v>52</v>
      </c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45" t="s">
        <v>52</v>
      </c>
      <c r="G8" s="18">
        <v>2.5</v>
      </c>
      <c r="H8" s="40">
        <f>SUM(H16*0.12)+H16</f>
        <v>1970.0257919999999</v>
      </c>
      <c r="I8" s="40">
        <f>SUM(H16*0.09)+H16</f>
        <v>1917.2572439999999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45"/>
      <c r="G9" s="18">
        <v>3.17</v>
      </c>
      <c r="H9" s="40">
        <f>SUM(H16*0.11)+H16</f>
        <v>1952.4362759999999</v>
      </c>
      <c r="I9" s="40">
        <f>SUM(H16*0.08)+H16</f>
        <v>1899.6677279999999</v>
      </c>
      <c r="J9" s="40">
        <f>SUM(H16*0.08)+H16</f>
        <v>1899.6677279999999</v>
      </c>
      <c r="K9" s="9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45"/>
      <c r="G10" s="18" t="s">
        <v>4</v>
      </c>
      <c r="H10" s="40">
        <f>SUM(H16*0.1)+H16</f>
        <v>1934.8467599999999</v>
      </c>
      <c r="I10" s="40">
        <f>SUM(H16*0.07+H16)</f>
        <v>1882.0782119999999</v>
      </c>
      <c r="J10" s="40">
        <f>SUM(H16*0.07)+H16</f>
        <v>1882.0782119999999</v>
      </c>
      <c r="K10" s="9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45"/>
      <c r="G11" s="18">
        <v>6.35</v>
      </c>
      <c r="H11" s="40">
        <f>SUM(H16*0.11)+H16</f>
        <v>1952.4362759999999</v>
      </c>
      <c r="I11" s="40">
        <f>SUM(H16*0.08)+H16</f>
        <v>1899.6677279999999</v>
      </c>
      <c r="J11" s="40">
        <f>SUM(H16*0.08)+H16</f>
        <v>1899.6677279999999</v>
      </c>
      <c r="K11" s="9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45"/>
      <c r="G12" s="18">
        <v>8</v>
      </c>
      <c r="H12" s="40">
        <f>SUM(H16*0.11)+H16</f>
        <v>1952.4362759999999</v>
      </c>
      <c r="I12" s="40">
        <f>SUM(H16*0.08)+H16</f>
        <v>1899.6677279999999</v>
      </c>
      <c r="J12" s="40">
        <f>SUM(H16*0.08)+H16</f>
        <v>1899.6677279999999</v>
      </c>
      <c r="K12" s="9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1970.0257919999999</v>
      </c>
      <c r="I13" s="40">
        <f>SUM(H16*0.09)+H16</f>
        <v>1917.2572439999999</v>
      </c>
      <c r="J13" s="40">
        <f>SUM(H16*0.1)+H16</f>
        <v>1934.8467599999999</v>
      </c>
      <c r="K13" s="9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1970.0257919999999</v>
      </c>
      <c r="I14" s="40">
        <f>SUM(H16*0.09)+H16</f>
        <v>1917.2572439999999</v>
      </c>
      <c r="J14" s="40">
        <f>SUM(H16*0.1)+H16</f>
        <v>1934.8467599999999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SUM(INICIO!K63)</f>
        <v>2059.48036</v>
      </c>
      <c r="D16" s="43"/>
      <c r="E16" s="43"/>
      <c r="F16" s="43"/>
      <c r="G16" s="26" t="s">
        <v>5</v>
      </c>
      <c r="H16" s="42">
        <f>SUM(INICIO!Q63)</f>
        <v>1758.9515999999999</v>
      </c>
      <c r="I16" s="43"/>
      <c r="J16" s="43" t="s">
        <v>258</v>
      </c>
      <c r="K16" s="229" t="s">
        <v>333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 t="s">
        <v>210</v>
      </c>
      <c r="J17" s="228" t="s">
        <v>332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2089.6345007999998</v>
      </c>
      <c r="F18" s="10"/>
      <c r="G18" s="10"/>
      <c r="H18" s="19"/>
      <c r="I18" s="10" t="s">
        <v>7</v>
      </c>
      <c r="J18" s="10"/>
      <c r="K18" s="9" t="s">
        <v>349</v>
      </c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2070.2860332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2089.6345007999998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1.3385879999999999</v>
      </c>
      <c r="I25" s="22">
        <f>SUM(H34*0.11)+H34</f>
        <v>1.3033619999999999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1.3151039999999998</v>
      </c>
      <c r="I26" s="22">
        <f>SUM(H34*0.09)+H34</f>
        <v>1.2798779999999998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1.3033619999999999</v>
      </c>
      <c r="I27" s="22">
        <f>SUM(H34*0.08)+H34</f>
        <v>1.2681359999999999</v>
      </c>
      <c r="J27" s="22">
        <f>SUM(H34*0.08)+H34</f>
        <v>1.2681359999999999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1.29162</v>
      </c>
      <c r="I28" s="22">
        <f>SUM(H34*0.07+H34)</f>
        <v>1.256394</v>
      </c>
      <c r="J28" s="22">
        <f>SUM(H34*0.07)+H34</f>
        <v>1.256394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1.3033619999999999</v>
      </c>
      <c r="I29" s="22">
        <f>SUM(H34*0.08)+H34</f>
        <v>1.2681359999999999</v>
      </c>
      <c r="J29" s="22">
        <f>SUM(H34*0.08)+H34</f>
        <v>1.2681359999999999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1.3033619999999999</v>
      </c>
      <c r="I30" s="22">
        <f>SUM(H34*0.08)+H34</f>
        <v>1.2681359999999999</v>
      </c>
      <c r="J30" s="22">
        <f>SUM(H34*0.08)+H34</f>
        <v>1.2681359999999999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1.3151039999999998</v>
      </c>
      <c r="I31" s="22">
        <f>SUM(H34*0.09)+H34</f>
        <v>1.2798779999999998</v>
      </c>
      <c r="J31" s="22">
        <f>SUM(H34*0.1)+H34</f>
        <v>1.29162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1.3151039999999998</v>
      </c>
      <c r="I32" s="22">
        <f>SUM(H34*0.09)+H34</f>
        <v>1.2798779999999998</v>
      </c>
      <c r="J32" s="22">
        <f>SUM(H34*0.1)+H34</f>
        <v>1.29162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SUM(INICIO!J63)</f>
        <v>1.3748199999999999</v>
      </c>
      <c r="D34" s="10"/>
      <c r="E34" s="10"/>
      <c r="F34" s="10"/>
      <c r="G34" s="26" t="s">
        <v>5</v>
      </c>
      <c r="H34" s="27">
        <f>SUM(INICIO!P63)</f>
        <v>1.1741999999999999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1.3949495999999999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1.3820334000000001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1.3949495999999999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1" spans="2:11" ht="15.75" x14ac:dyDescent="0.25">
      <c r="B41" s="14" t="s">
        <v>71</v>
      </c>
      <c r="C41" s="15" t="s">
        <v>74</v>
      </c>
    </row>
    <row r="42" spans="2:11" ht="15.75" x14ac:dyDescent="0.25">
      <c r="B42" s="17" t="s">
        <v>52</v>
      </c>
      <c r="C42" s="76" t="s">
        <v>52</v>
      </c>
      <c r="D42" s="77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PROPER(INICIO!D64)</f>
        <v>Imp/Cocuchi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SUM(INICIO!K64)</f>
        <v>2098.3384799999999</v>
      </c>
      <c r="D16" s="43"/>
      <c r="E16" s="43"/>
      <c r="F16" s="10"/>
      <c r="G16" s="26" t="s">
        <v>5</v>
      </c>
      <c r="H16" s="42">
        <f>SUM(INICIO!Q64)</f>
        <v>1810.1831999999999</v>
      </c>
      <c r="I16" s="43"/>
      <c r="J16" s="43" t="s">
        <v>243</v>
      </c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SUM(INICIO!J64)</f>
        <v>1.40076</v>
      </c>
      <c r="D34" s="10"/>
      <c r="E34" s="10"/>
      <c r="F34" s="10"/>
      <c r="G34" s="26" t="s">
        <v>5</v>
      </c>
      <c r="H34" s="27">
        <f>SUM(INICIO!P64)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PROPER(INICIO!D65)</f>
        <v>Chapet/Anibal/Suepet//Met Lonchamps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2024.6728320000002</v>
      </c>
      <c r="I7" s="40">
        <f>SUM(H16*0.11)+H16</f>
        <v>1971.3919680000001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1989.1522560000001</v>
      </c>
      <c r="I8" s="40">
        <f>SUM(H16*0.09)+H16</f>
        <v>1935.871392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1971.3919680000001</v>
      </c>
      <c r="I9" s="40">
        <f>SUM(H16*0.08)+H16</f>
        <v>1918.1111040000001</v>
      </c>
      <c r="J9" s="40">
        <f>SUM(H16*0.08)+H16</f>
        <v>1918.1111040000001</v>
      </c>
      <c r="K9" s="44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 t="s">
        <v>2</v>
      </c>
      <c r="I10" s="40">
        <f>SUM(H16*0.07+H16)</f>
        <v>1900.3508160000001</v>
      </c>
      <c r="J10" s="40">
        <f>SUM(H16*0.07)+H16</f>
        <v>1900.3508160000001</v>
      </c>
      <c r="K10" s="44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 t="s">
        <v>2</v>
      </c>
      <c r="I11" s="40">
        <f>SUM(H16*0.08)+H16</f>
        <v>1918.1111040000001</v>
      </c>
      <c r="J11" s="40">
        <f>SUM(H16*0.08)+H16</f>
        <v>1918.1111040000001</v>
      </c>
      <c r="K11" s="44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 t="s">
        <v>2</v>
      </c>
      <c r="I12" s="40">
        <f>SUM(H16*0.08)+H16</f>
        <v>1918.1111040000001</v>
      </c>
      <c r="J12" s="40">
        <f>SUM(H16*0.08)+H16</f>
        <v>1918.1111040000001</v>
      </c>
      <c r="K12" s="44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 t="s">
        <v>2</v>
      </c>
      <c r="I13" s="40">
        <f>SUM(H16*0.09)+H16</f>
        <v>1935.871392</v>
      </c>
      <c r="J13" s="40">
        <f>SUM(H16*0.09)+H16</f>
        <v>1935.871392</v>
      </c>
      <c r="K13" s="44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 t="s">
        <v>2</v>
      </c>
      <c r="I14" s="40">
        <f>SUM(H16*0.09)+H16</f>
        <v>1935.871392</v>
      </c>
      <c r="J14" s="40">
        <f>SUM(H16*0.09)+H16</f>
        <v>1935.871392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SUM(INICIO!K65)</f>
        <v>2059.48036</v>
      </c>
      <c r="D16" s="43"/>
      <c r="E16" s="43"/>
      <c r="F16" s="10"/>
      <c r="G16" s="26" t="s">
        <v>5</v>
      </c>
      <c r="H16" s="42">
        <f>SUM(INICIO!Q65)</f>
        <v>1776.0288</v>
      </c>
      <c r="I16" s="43"/>
      <c r="J16" s="43" t="s">
        <v>304</v>
      </c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216" t="s">
        <v>288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2109.9222144</v>
      </c>
      <c r="F18" s="10"/>
      <c r="G18" s="10"/>
      <c r="H18" s="19"/>
      <c r="I18" s="10" t="s">
        <v>7</v>
      </c>
      <c r="J18" s="10" t="s">
        <v>341</v>
      </c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2090.3858976000001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2109.9222144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1.3515839999999999</v>
      </c>
      <c r="I25" s="22">
        <f>SUM(H34*0.11)+H34</f>
        <v>1.3160160000000001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1.3278719999999999</v>
      </c>
      <c r="I26" s="22">
        <f>SUM(H34*0.09)+H34</f>
        <v>1.2923039999999999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1.3160160000000001</v>
      </c>
      <c r="I27" s="22">
        <f>SUM(H34*0.08)+H34</f>
        <v>1.280448</v>
      </c>
      <c r="J27" s="22">
        <f>SUM(H34*0.08)+H34</f>
        <v>1.280448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1.30416</v>
      </c>
      <c r="I28" s="22">
        <f>SUM(H34*0.07+H34)</f>
        <v>1.2685919999999999</v>
      </c>
      <c r="J28" s="22">
        <f>SUM(H34*0.07)+H34</f>
        <v>1.2685919999999999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1.3160160000000001</v>
      </c>
      <c r="I29" s="22">
        <f>SUM(H34*0.08)+H34</f>
        <v>1.280448</v>
      </c>
      <c r="J29" s="22">
        <f>SUM(H34*0.08)+H34</f>
        <v>1.280448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1.3160160000000001</v>
      </c>
      <c r="I30" s="22">
        <f>SUM(H34*0.08)+H34</f>
        <v>1.280448</v>
      </c>
      <c r="J30" s="22">
        <f>SUM(H34*0.08)+H34</f>
        <v>1.280448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1.3278719999999999</v>
      </c>
      <c r="I31" s="22">
        <f>SUM(H34*0.09)+H34</f>
        <v>1.2923039999999999</v>
      </c>
      <c r="J31" s="22">
        <f>SUM(H34*0.1)+H34</f>
        <v>1.30416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1.3278719999999999</v>
      </c>
      <c r="I32" s="22">
        <f>SUM(H34*0.09)+H34</f>
        <v>1.2923039999999999</v>
      </c>
      <c r="J32" s="22">
        <f>SUM(H34*0.1)+H34</f>
        <v>1.30416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SUM(INICIO!J65)</f>
        <v>1.3748199999999999</v>
      </c>
      <c r="D34" s="10"/>
      <c r="E34" s="10"/>
      <c r="F34" s="10"/>
      <c r="G34" s="26" t="s">
        <v>5</v>
      </c>
      <c r="H34" s="27">
        <f>SUM(INICIO!P65)</f>
        <v>1.1856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1.4084928000000001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1.3954511999999999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1.4084928000000001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46"/>
  <sheetViews>
    <sheetView showGridLines="0" topLeftCell="A7" zoomScale="124" zoomScaleNormal="124" workbookViewId="0"/>
  </sheetViews>
  <sheetFormatPr baseColWidth="10" defaultRowHeight="15" x14ac:dyDescent="0.25"/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9.5" thickBot="1" x14ac:dyDescent="0.3">
      <c r="A2" s="1"/>
      <c r="B2" s="11" t="s">
        <v>15</v>
      </c>
      <c r="C2" s="1"/>
      <c r="D2" s="263" t="str">
        <f>PROPER(INICIO!D66)</f>
        <v>Consoli /Galvanizados Saenz/Soldani</v>
      </c>
      <c r="E2" s="264"/>
      <c r="F2" s="264"/>
      <c r="G2" s="265"/>
      <c r="H2" s="1"/>
      <c r="I2" s="1"/>
      <c r="J2" s="1"/>
      <c r="K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2" ht="15.75" x14ac:dyDescent="0.25">
      <c r="A6" s="1"/>
      <c r="B6" s="17">
        <v>16</v>
      </c>
      <c r="C6" s="40">
        <f>SUM(C16*0.07)+C16</f>
        <v>2266.0112677999996</v>
      </c>
      <c r="D6" s="40">
        <f>SUM(C16*0.04)+C16</f>
        <v>2202.4782415999998</v>
      </c>
      <c r="E6" s="40">
        <f>SUM(C16*0.04)+C16</f>
        <v>2202.4782415999998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44"/>
      <c r="L6" s="48"/>
    </row>
    <row r="7" spans="1:12" ht="15.75" x14ac:dyDescent="0.25">
      <c r="A7" s="1"/>
      <c r="B7" s="17">
        <v>18</v>
      </c>
      <c r="C7" s="40">
        <f>SUM(C16*0.07)+C16</f>
        <v>2266.0112677999996</v>
      </c>
      <c r="D7" s="40">
        <f>SUM(C16*0.04)+C16</f>
        <v>2202.4782415999998</v>
      </c>
      <c r="E7" s="40">
        <f>SUM(C16*0.04)+C16</f>
        <v>2202.4782415999998</v>
      </c>
      <c r="F7" s="45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44"/>
      <c r="L7" s="48"/>
    </row>
    <row r="8" spans="1:12" ht="15.75" x14ac:dyDescent="0.25">
      <c r="A8" s="1"/>
      <c r="B8" s="17" t="s">
        <v>3</v>
      </c>
      <c r="C8" s="40">
        <f>SUM(C16*0.08)+C16</f>
        <v>2287.1889431999998</v>
      </c>
      <c r="D8" s="40">
        <f>SUM(C16*0.05)+C16</f>
        <v>2223.655917</v>
      </c>
      <c r="E8" s="40">
        <f>SUM(C16*0.05)+C16</f>
        <v>2223.655917</v>
      </c>
      <c r="F8" s="45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44"/>
      <c r="L8" s="48"/>
    </row>
    <row r="9" spans="1:12" ht="15.75" x14ac:dyDescent="0.25">
      <c r="A9" s="1"/>
      <c r="B9" s="17">
        <v>22</v>
      </c>
      <c r="C9" s="40">
        <f>SUM(C16*0.1)+C16</f>
        <v>2329.5442939999998</v>
      </c>
      <c r="D9" s="40">
        <f>SUM(C16*0.07)+C16</f>
        <v>2266.0112677999996</v>
      </c>
      <c r="E9" s="40">
        <f>SUM(C16*0.07)+C16</f>
        <v>2266.0112677999996</v>
      </c>
      <c r="F9" s="45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44"/>
      <c r="L9" s="48"/>
    </row>
    <row r="10" spans="1:12" ht="15.75" x14ac:dyDescent="0.25">
      <c r="A10" s="1"/>
      <c r="B10" s="17">
        <v>0.65</v>
      </c>
      <c r="C10" s="40">
        <f>SUM(C16*0.12)+C16</f>
        <v>2371.8996447999998</v>
      </c>
      <c r="D10" s="40">
        <f>SUM(C16*0.09)+C16</f>
        <v>2308.3666186</v>
      </c>
      <c r="E10" s="40" t="s">
        <v>2</v>
      </c>
      <c r="F10" s="45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44"/>
      <c r="L10" s="48"/>
    </row>
    <row r="11" spans="1:12" ht="15.75" x14ac:dyDescent="0.25">
      <c r="A11" s="1"/>
      <c r="B11" s="17">
        <v>24</v>
      </c>
      <c r="C11" s="40">
        <f>SUM(C16*0.16)+C16</f>
        <v>2456.6103463999998</v>
      </c>
      <c r="D11" s="40">
        <f>SUM(C16*0.13)+C16</f>
        <v>2393.0773202</v>
      </c>
      <c r="E11" s="40" t="s">
        <v>2</v>
      </c>
      <c r="F11" s="45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44"/>
      <c r="L11" s="48"/>
    </row>
    <row r="12" spans="1:12" ht="15.75" x14ac:dyDescent="0.25">
      <c r="A12" s="1"/>
      <c r="B12" s="17">
        <v>26</v>
      </c>
      <c r="C12" s="40">
        <f>SUM(C16*0.2)+C16</f>
        <v>2541.3210479999998</v>
      </c>
      <c r="D12" s="40">
        <f>SUM(C16*0.15)+C16</f>
        <v>2435.4326709999996</v>
      </c>
      <c r="E12" s="40" t="s">
        <v>2</v>
      </c>
      <c r="F12" s="45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44"/>
      <c r="L12" s="48"/>
    </row>
    <row r="13" spans="1:12" ht="15.75" x14ac:dyDescent="0.25">
      <c r="A13" s="1"/>
      <c r="B13" s="17">
        <v>27</v>
      </c>
      <c r="C13" s="40">
        <f>SUM(C16*0.26)+C16</f>
        <v>2668.3871003999998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SUM(H16*0.09)+H16</f>
        <v>1973.099688</v>
      </c>
      <c r="K13" s="44"/>
      <c r="L13" s="48"/>
    </row>
    <row r="14" spans="1:12" ht="15.75" x14ac:dyDescent="0.25">
      <c r="A14" s="1"/>
      <c r="B14" s="17">
        <v>30</v>
      </c>
      <c r="C14" s="40">
        <f>SUM(C16*0.32)+C16</f>
        <v>2795.4531527999998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SUM(H16*0.09)+H16</f>
        <v>1973.099688</v>
      </c>
      <c r="K14" s="44"/>
      <c r="L14" s="48"/>
    </row>
    <row r="15" spans="1:12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44"/>
      <c r="L15" s="48"/>
    </row>
    <row r="16" spans="1:12" ht="16.5" thickBot="1" x14ac:dyDescent="0.3">
      <c r="A16" s="1"/>
      <c r="B16" s="14" t="s">
        <v>5</v>
      </c>
      <c r="C16" s="41">
        <f>SUM(INICIO!K66)</f>
        <v>2117.7675399999998</v>
      </c>
      <c r="D16" s="43"/>
      <c r="E16" s="43"/>
      <c r="F16" s="43"/>
      <c r="G16" s="26" t="s">
        <v>5</v>
      </c>
      <c r="H16" s="42">
        <f>SUM(INICIO!Q66)</f>
        <v>1810.1831999999999</v>
      </c>
      <c r="I16" s="43"/>
      <c r="J16" s="43" t="s">
        <v>282</v>
      </c>
      <c r="K16" s="44"/>
      <c r="L16" s="48"/>
    </row>
    <row r="17" spans="1:12" ht="15.75" x14ac:dyDescent="0.25">
      <c r="A17" s="1"/>
      <c r="B17" s="10"/>
      <c r="C17" s="43"/>
      <c r="D17" s="43"/>
      <c r="E17" s="43"/>
      <c r="F17" s="43"/>
      <c r="G17" s="10"/>
      <c r="H17" s="43"/>
      <c r="I17" s="43"/>
      <c r="J17" s="43"/>
      <c r="K17" s="44"/>
      <c r="L17" s="48"/>
    </row>
    <row r="18" spans="1:12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2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2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2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2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2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2" s="1" customFormat="1" ht="15.75" x14ac:dyDescent="0.25">
      <c r="B24" s="17">
        <v>16</v>
      </c>
      <c r="C24" s="22">
        <f>SUM(C34*0.07)+C34</f>
        <v>1.5126910999999998</v>
      </c>
      <c r="D24" s="22">
        <f>SUM(C34*0.04)+C34</f>
        <v>1.4702792</v>
      </c>
      <c r="E24" s="22">
        <f>SUM(C34*0.04)+C34</f>
        <v>1.4702792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2" s="1" customFormat="1" ht="15.75" x14ac:dyDescent="0.25">
      <c r="B25" s="17">
        <v>18</v>
      </c>
      <c r="C25" s="22">
        <f>SUM(C34*0.07)+C34</f>
        <v>1.5126910999999998</v>
      </c>
      <c r="D25" s="22">
        <f>SUM(C34*0.04)+C34</f>
        <v>1.4702792</v>
      </c>
      <c r="E25" s="22">
        <f>SUM(C34*0.04)+C34</f>
        <v>1.4702792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2" s="1" customFormat="1" ht="15.75" x14ac:dyDescent="0.25">
      <c r="B26" s="17" t="s">
        <v>3</v>
      </c>
      <c r="C26" s="22">
        <f>SUM(C34*0.08)+C34</f>
        <v>1.5268283999999999</v>
      </c>
      <c r="D26" s="22">
        <f>SUM(C34*0.05)+C34</f>
        <v>1.4844165</v>
      </c>
      <c r="E26" s="22">
        <f>SUM(C34*0.05)+C34</f>
        <v>1.4844165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2" s="1" customFormat="1" ht="15.75" x14ac:dyDescent="0.25">
      <c r="B27" s="17">
        <v>22</v>
      </c>
      <c r="C27" s="22">
        <f>SUM(C34*0.1)+C34</f>
        <v>1.5551029999999999</v>
      </c>
      <c r="D27" s="22">
        <f>SUM(C34*0.07)+C34</f>
        <v>1.5126910999999998</v>
      </c>
      <c r="E27" s="22">
        <f>SUM(C34*0.07)+C34</f>
        <v>1.5126910999999998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2" s="1" customFormat="1" ht="15.75" x14ac:dyDescent="0.25">
      <c r="B28" s="17">
        <v>0.65</v>
      </c>
      <c r="C28" s="22">
        <f>SUM(C34*0.12)+C34</f>
        <v>1.5833775999999999</v>
      </c>
      <c r="D28" s="22">
        <f>SUM(C34*0.09)+C34</f>
        <v>1.5409656999999999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2" s="1" customFormat="1" ht="15.75" x14ac:dyDescent="0.25">
      <c r="B29" s="17">
        <v>24</v>
      </c>
      <c r="C29" s="22">
        <f>SUM(C34*0.16)+C34</f>
        <v>1.6399268</v>
      </c>
      <c r="D29" s="22">
        <f>SUM(C34*0.13)+C34</f>
        <v>1.5975149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2" s="1" customFormat="1" ht="15.75" x14ac:dyDescent="0.25">
      <c r="B30" s="17">
        <v>26</v>
      </c>
      <c r="C30" s="22">
        <f>SUM(C34*0.2)+C34</f>
        <v>1.6964759999999999</v>
      </c>
      <c r="D30" s="22">
        <f>SUM(C34*0.15)+C34</f>
        <v>1.6257895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2" s="1" customFormat="1" ht="15.75" x14ac:dyDescent="0.25">
      <c r="B31" s="17">
        <v>27</v>
      </c>
      <c r="C31" s="22">
        <f>SUM(C34*0.26)+C34</f>
        <v>1.7812998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SUM(H34*0.09)+H34</f>
        <v>1.317156</v>
      </c>
      <c r="K31" s="9"/>
    </row>
    <row r="32" spans="1:12" s="1" customFormat="1" ht="15.75" x14ac:dyDescent="0.25">
      <c r="B32" s="17">
        <v>30</v>
      </c>
      <c r="C32" s="22">
        <f>SUM(C34*0.32)+C34</f>
        <v>1.8661235999999999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SUM(H34*0.09)+H34</f>
        <v>1.317156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SUM(INICIO!J66)</f>
        <v>1.4137299999999999</v>
      </c>
      <c r="D34" s="10"/>
      <c r="E34" s="10"/>
      <c r="F34" s="10"/>
      <c r="G34" s="26" t="s">
        <v>5</v>
      </c>
      <c r="H34" s="27">
        <f>SUM(INICIO!P66)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1" spans="2:11" ht="15.75" x14ac:dyDescent="0.25">
      <c r="B41" s="14" t="s">
        <v>69</v>
      </c>
      <c r="C41" s="15">
        <v>1220</v>
      </c>
    </row>
    <row r="42" spans="2:11" ht="15.75" x14ac:dyDescent="0.25">
      <c r="B42" s="17" t="s">
        <v>52</v>
      </c>
      <c r="C42" s="22" t="s">
        <v>52</v>
      </c>
    </row>
    <row r="43" spans="2:11" ht="15.75" x14ac:dyDescent="0.25">
      <c r="B43" s="17" t="s">
        <v>52</v>
      </c>
      <c r="C43" s="22" t="s">
        <v>52</v>
      </c>
    </row>
    <row r="44" spans="2:11" ht="15.75" x14ac:dyDescent="0.25">
      <c r="B44" s="17">
        <v>20</v>
      </c>
      <c r="C44" s="22">
        <v>1.4670000000000001</v>
      </c>
    </row>
    <row r="45" spans="2:11" ht="15.75" x14ac:dyDescent="0.25">
      <c r="B45" s="17">
        <v>22</v>
      </c>
      <c r="C45" s="22">
        <v>1.482</v>
      </c>
    </row>
    <row r="46" spans="2:11" ht="15.75" x14ac:dyDescent="0.25">
      <c r="B46" s="17">
        <v>0.5</v>
      </c>
      <c r="C46" s="22">
        <v>1.49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40"/>
  <sheetViews>
    <sheetView showGridLines="0" workbookViewId="0"/>
  </sheetViews>
  <sheetFormatPr baseColWidth="10" defaultRowHeight="15" x14ac:dyDescent="0.25"/>
  <sheetData>
    <row r="1" spans="1:1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9.5" thickBot="1" x14ac:dyDescent="0.3">
      <c r="A2" s="1"/>
      <c r="B2" s="11" t="s">
        <v>15</v>
      </c>
      <c r="C2" s="1"/>
      <c r="D2" s="263" t="str">
        <f>PROPER(INICIO!D67)</f>
        <v>Camsi/Numasol/Imsatermis</v>
      </c>
      <c r="E2" s="264"/>
      <c r="F2" s="264"/>
      <c r="G2" s="265"/>
      <c r="H2" s="1"/>
      <c r="I2" s="1"/>
      <c r="J2" s="1"/>
      <c r="K2" s="1"/>
    </row>
    <row r="3" spans="1:12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2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2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2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2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2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2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2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  <c r="L11" t="s">
        <v>52</v>
      </c>
    </row>
    <row r="12" spans="1:12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2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44"/>
    </row>
    <row r="14" spans="1:12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44"/>
    </row>
    <row r="15" spans="1:12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 t="s">
        <v>338</v>
      </c>
      <c r="K15" s="44"/>
    </row>
    <row r="16" spans="1:12" ht="16.5" thickBot="1" x14ac:dyDescent="0.3">
      <c r="A16" s="1"/>
      <c r="B16" s="14" t="s">
        <v>5</v>
      </c>
      <c r="C16" s="41">
        <f>SUM(INICIO!K67)</f>
        <v>2098.3384799999999</v>
      </c>
      <c r="D16" s="43"/>
      <c r="E16" s="43"/>
      <c r="F16" s="10"/>
      <c r="G16" s="26" t="s">
        <v>5</v>
      </c>
      <c r="H16" s="42">
        <f>SUM(INICIO!Q67)</f>
        <v>1793.1059999999998</v>
      </c>
      <c r="I16" s="43"/>
      <c r="J16" s="43" t="s">
        <v>277</v>
      </c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 t="s">
        <v>343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SUM(INICIO!J67)</f>
        <v>1.40076</v>
      </c>
      <c r="D34" s="10"/>
      <c r="E34" s="10"/>
      <c r="F34" s="10"/>
      <c r="G34" s="26" t="s">
        <v>5</v>
      </c>
      <c r="H34" s="27">
        <f>SUM(INICIO!P67)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PROPER(INICIO!D68)</f>
        <v>Acerbo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2365.7989199600001</v>
      </c>
      <c r="D6" s="40">
        <f>SUM(C16*0.04)+C16</f>
        <v>2299.46810912</v>
      </c>
      <c r="E6" s="40">
        <f>SUM(C16*0.04)+C16</f>
        <v>2299.46810912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2365.7989199600001</v>
      </c>
      <c r="D7" s="40">
        <f>SUM(C16*0.04)+C16</f>
        <v>2299.46810912</v>
      </c>
      <c r="E7" s="40">
        <f>SUM(C16*0.04)+C16</f>
        <v>2299.46810912</v>
      </c>
      <c r="F7" s="16"/>
      <c r="G7" s="18">
        <v>2</v>
      </c>
      <c r="H7" s="40">
        <f>SUM(H16*0.14)+H16</f>
        <v>2375.0969759999994</v>
      </c>
      <c r="I7" s="40">
        <f>SUM(H16*0.11)+H16</f>
        <v>2312.5944239999994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2387.90919024</v>
      </c>
      <c r="D8" s="40">
        <f>SUM(C16*0.05)+C16</f>
        <v>2321.5783793999999</v>
      </c>
      <c r="E8" s="40">
        <f>SUM(C16*0.05)+C16</f>
        <v>2321.5783793999999</v>
      </c>
      <c r="F8" s="16"/>
      <c r="G8" s="18">
        <v>2.5</v>
      </c>
      <c r="H8" s="40">
        <f>SUM(H16*0.12)+H16</f>
        <v>2333.4286079999997</v>
      </c>
      <c r="I8" s="40">
        <f>SUM(H16*0.09)+H16</f>
        <v>2270.9260559999993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2432.1297307999998</v>
      </c>
      <c r="D9" s="40">
        <f>SUM(C16*0.07)+C16</f>
        <v>2365.7989199600001</v>
      </c>
      <c r="E9" s="40">
        <f>SUM(C16*0.07)+C16</f>
        <v>2365.7989199600001</v>
      </c>
      <c r="F9" s="16"/>
      <c r="G9" s="18">
        <v>3.17</v>
      </c>
      <c r="H9" s="40">
        <f>SUM(H16*0.11)+H16</f>
        <v>2312.5944239999994</v>
      </c>
      <c r="I9" s="40">
        <f>SUM(H16*0.08)+H16</f>
        <v>2250.0918719999995</v>
      </c>
      <c r="J9" s="40">
        <f>SUM(H16*0.08)+H16</f>
        <v>2250.0918719999995</v>
      </c>
      <c r="K9" s="44"/>
    </row>
    <row r="10" spans="1:11" ht="15.75" x14ac:dyDescent="0.25">
      <c r="A10" s="1"/>
      <c r="B10" s="17">
        <v>0.65</v>
      </c>
      <c r="C10" s="40">
        <f>SUM(C16*0.12)+C16</f>
        <v>2476.3502713600001</v>
      </c>
      <c r="D10" s="40">
        <f>SUM(C16*0.09)+C16</f>
        <v>2410.0194605199999</v>
      </c>
      <c r="E10" s="40" t="s">
        <v>2</v>
      </c>
      <c r="F10" s="16"/>
      <c r="G10" s="18" t="s">
        <v>4</v>
      </c>
      <c r="H10" s="40">
        <f>SUM(H16*0.1)+H16</f>
        <v>2291.7602399999996</v>
      </c>
      <c r="I10" s="40">
        <f>SUM(H16*0.07+H16)</f>
        <v>2229.2576879999997</v>
      </c>
      <c r="J10" s="40">
        <f>SUM(H16*0.07)+H16</f>
        <v>2229.2576879999997</v>
      </c>
      <c r="K10" s="44"/>
    </row>
    <row r="11" spans="1:11" ht="15.75" x14ac:dyDescent="0.25">
      <c r="A11" s="1"/>
      <c r="B11" s="17">
        <v>24</v>
      </c>
      <c r="C11" s="40">
        <f>SUM(C16*0.16)+C16</f>
        <v>2564.7913524800001</v>
      </c>
      <c r="D11" s="40">
        <f>SUM(C16*0.13)+C16</f>
        <v>2498.46054164</v>
      </c>
      <c r="E11" s="40" t="s">
        <v>2</v>
      </c>
      <c r="F11" s="16"/>
      <c r="G11" s="18">
        <v>6.35</v>
      </c>
      <c r="H11" s="40">
        <f>SUM(H16*0.11)+H16</f>
        <v>2312.5944239999994</v>
      </c>
      <c r="I11" s="40">
        <f>SUM(H16*0.08)+H16</f>
        <v>2250.0918719999995</v>
      </c>
      <c r="J11" s="40">
        <f>SUM(H16*0.08)+H16</f>
        <v>2250.0918719999995</v>
      </c>
      <c r="K11" s="44"/>
    </row>
    <row r="12" spans="1:11" ht="15.75" x14ac:dyDescent="0.25">
      <c r="A12" s="1"/>
      <c r="B12" s="17">
        <v>26</v>
      </c>
      <c r="C12" s="40">
        <f>SUM(C16*0.2)+C16</f>
        <v>2653.2324336000001</v>
      </c>
      <c r="D12" s="40">
        <f>SUM(C16*0.15)+C16</f>
        <v>2542.6810821999998</v>
      </c>
      <c r="E12" s="40" t="s">
        <v>2</v>
      </c>
      <c r="F12" s="16"/>
      <c r="G12" s="18">
        <v>8</v>
      </c>
      <c r="H12" s="40">
        <f>SUM(H16*0.11)+H16</f>
        <v>2312.5944239999994</v>
      </c>
      <c r="I12" s="40">
        <f>SUM(H16*0.08)+H16</f>
        <v>2250.0918719999995</v>
      </c>
      <c r="J12" s="40">
        <f>SUM(H16*0.08)+H16</f>
        <v>2250.0918719999995</v>
      </c>
      <c r="K12" s="44"/>
    </row>
    <row r="13" spans="1:11" ht="15.75" x14ac:dyDescent="0.25">
      <c r="A13" s="1"/>
      <c r="B13" s="17">
        <v>27</v>
      </c>
      <c r="C13" s="40">
        <f>SUM(C16*0.26)+C16</f>
        <v>2785.89405528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2333.4286079999997</v>
      </c>
      <c r="I13" s="40">
        <f>SUM(H16*0.09)+H16</f>
        <v>2270.9260559999993</v>
      </c>
      <c r="J13" s="40">
        <f>SUM(H16*0.1)+H16</f>
        <v>2291.7602399999996</v>
      </c>
      <c r="K13" s="44"/>
    </row>
    <row r="14" spans="1:11" ht="15.75" x14ac:dyDescent="0.25">
      <c r="A14" s="1"/>
      <c r="B14" s="17">
        <v>30</v>
      </c>
      <c r="C14" s="40">
        <f>SUM(C16*0.32)+C16</f>
        <v>2918.5556769599998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2333.4286079999997</v>
      </c>
      <c r="I14" s="40">
        <f>SUM(H16*0.09)+H16</f>
        <v>2270.9260559999993</v>
      </c>
      <c r="J14" s="40">
        <f>SUM(H16*0.1)+H16</f>
        <v>2291.7602399999996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SUM(INICIO!K68)</f>
        <v>2211.027028</v>
      </c>
      <c r="D16" s="43"/>
      <c r="E16" s="43"/>
      <c r="F16" s="10"/>
      <c r="G16" s="26" t="s">
        <v>5</v>
      </c>
      <c r="H16" s="42">
        <f>SUM(INICIO!Q68)</f>
        <v>2083.4183999999996</v>
      </c>
      <c r="I16" s="43"/>
      <c r="J16" s="43"/>
      <c r="K16" s="44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2475.1010591999993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2452.1834567999995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2475.1010591999993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1.5793050200000001</v>
      </c>
      <c r="D24" s="22">
        <f>SUM(C34*0.04)+C34</f>
        <v>1.5350254400000001</v>
      </c>
      <c r="E24" s="22">
        <f>SUM(C34*0.04)+C34</f>
        <v>1.5350254400000001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1.5793050200000001</v>
      </c>
      <c r="D25" s="22">
        <f>SUM(C34*0.04)+C34</f>
        <v>1.5350254400000001</v>
      </c>
      <c r="E25" s="22">
        <f>SUM(C34*0.04)+C34</f>
        <v>1.5350254400000001</v>
      </c>
      <c r="F25" s="16"/>
      <c r="G25" s="18">
        <v>2</v>
      </c>
      <c r="H25" s="22">
        <f>SUM(H34*0.14)+H34</f>
        <v>1.5855119999999998</v>
      </c>
      <c r="I25" s="22">
        <f>SUM(H34*0.11)+H34</f>
        <v>1.5437879999999997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1.5940648799999999</v>
      </c>
      <c r="D26" s="22">
        <f>SUM(C34*0.05)+C34</f>
        <v>1.5497852999999999</v>
      </c>
      <c r="E26" s="22">
        <f>SUM(C34*0.05)+C34</f>
        <v>1.5497852999999999</v>
      </c>
      <c r="F26" s="16"/>
      <c r="G26" s="18">
        <v>2.5</v>
      </c>
      <c r="H26" s="22">
        <f>SUM(H34*0.12)+H34</f>
        <v>1.5576959999999997</v>
      </c>
      <c r="I26" s="22">
        <f>SUM(H34*0.09)+H34</f>
        <v>1.5159719999999999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1.6235846</v>
      </c>
      <c r="D27" s="22">
        <f>SUM(C34*0.07)+C34</f>
        <v>1.5793050200000001</v>
      </c>
      <c r="E27" s="22">
        <f>SUM(C34*0.07)+C34</f>
        <v>1.5793050200000001</v>
      </c>
      <c r="F27" s="16"/>
      <c r="G27" s="18">
        <v>3.17</v>
      </c>
      <c r="H27" s="22">
        <f>SUM(H34*0.11)+H34</f>
        <v>1.5437879999999997</v>
      </c>
      <c r="I27" s="22">
        <f>SUM(H34*0.08)+H34</f>
        <v>1.5020639999999998</v>
      </c>
      <c r="J27" s="22">
        <f>SUM(H34*0.08)+H34</f>
        <v>1.5020639999999998</v>
      </c>
      <c r="K27" s="9"/>
    </row>
    <row r="28" spans="1:11" s="1" customFormat="1" ht="15.75" x14ac:dyDescent="0.25">
      <c r="B28" s="17">
        <v>0.65</v>
      </c>
      <c r="C28" s="22">
        <f>SUM(C34*0.12)+C34</f>
        <v>1.65310432</v>
      </c>
      <c r="D28" s="22">
        <f>SUM(C34*0.09)+C34</f>
        <v>1.60882474</v>
      </c>
      <c r="E28" s="23" t="s">
        <v>2</v>
      </c>
      <c r="F28" s="16"/>
      <c r="G28" s="18" t="s">
        <v>4</v>
      </c>
      <c r="H28" s="22">
        <f>SUM(H34*0.1)+H34</f>
        <v>1.5298799999999999</v>
      </c>
      <c r="I28" s="22">
        <f>SUM(H34*0.07+H34)</f>
        <v>1.4881559999999998</v>
      </c>
      <c r="J28" s="22">
        <f>SUM(H34*0.07)+H34</f>
        <v>1.4881559999999998</v>
      </c>
      <c r="K28" s="9"/>
    </row>
    <row r="29" spans="1:11" s="1" customFormat="1" ht="15.75" x14ac:dyDescent="0.25">
      <c r="B29" s="17">
        <v>24</v>
      </c>
      <c r="C29" s="22">
        <f>SUM(C34*0.16)+C34</f>
        <v>1.71214376</v>
      </c>
      <c r="D29" s="22">
        <f>SUM(C34*0.13)+C34</f>
        <v>1.66786418</v>
      </c>
      <c r="E29" s="23" t="s">
        <v>2</v>
      </c>
      <c r="F29" s="16"/>
      <c r="G29" s="18">
        <v>6.35</v>
      </c>
      <c r="H29" s="22">
        <f>SUM(H34*0.11)+H34</f>
        <v>1.5437879999999997</v>
      </c>
      <c r="I29" s="22">
        <f>SUM(H34*0.08)+H34</f>
        <v>1.5020639999999998</v>
      </c>
      <c r="J29" s="22">
        <f>SUM(H34*0.08)+H34</f>
        <v>1.5020639999999998</v>
      </c>
      <c r="K29" s="9"/>
    </row>
    <row r="30" spans="1:11" s="1" customFormat="1" ht="15.75" x14ac:dyDescent="0.25">
      <c r="B30" s="17">
        <v>26</v>
      </c>
      <c r="C30" s="22">
        <f>SUM(C34*0.2)+C34</f>
        <v>1.7711832000000001</v>
      </c>
      <c r="D30" s="22">
        <f>SUM(C34*0.15)+C34</f>
        <v>1.6973838999999999</v>
      </c>
      <c r="E30" s="23" t="s">
        <v>2</v>
      </c>
      <c r="F30" s="16"/>
      <c r="G30" s="18">
        <v>8</v>
      </c>
      <c r="H30" s="22">
        <f>SUM(H34*0.11)+H34</f>
        <v>1.5437879999999997</v>
      </c>
      <c r="I30" s="22">
        <f>SUM(H34*0.08)+H34</f>
        <v>1.5020639999999998</v>
      </c>
      <c r="J30" s="22">
        <f>SUM(H34*0.08)+H34</f>
        <v>1.5020639999999998</v>
      </c>
      <c r="K30" s="9"/>
    </row>
    <row r="31" spans="1:11" s="1" customFormat="1" ht="15.75" x14ac:dyDescent="0.25">
      <c r="B31" s="17">
        <v>27</v>
      </c>
      <c r="C31" s="22">
        <f>SUM(C34*0.26)+C34</f>
        <v>1.85974236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1.5576959999999997</v>
      </c>
      <c r="I31" s="22">
        <f>SUM(H34*0.09)+H34</f>
        <v>1.5159719999999999</v>
      </c>
      <c r="J31" s="22">
        <f>SUM(H34*0.1)+H34</f>
        <v>1.5298799999999999</v>
      </c>
      <c r="K31" s="9"/>
    </row>
    <row r="32" spans="1:11" s="1" customFormat="1" ht="15.75" x14ac:dyDescent="0.25">
      <c r="B32" s="17">
        <v>30</v>
      </c>
      <c r="C32" s="22">
        <f>SUM(C34*0.32)+C34</f>
        <v>1.94830152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1.5576959999999997</v>
      </c>
      <c r="I32" s="22">
        <f>SUM(H34*0.09)+H34</f>
        <v>1.5159719999999999</v>
      </c>
      <c r="J32" s="22">
        <f>SUM(H34*0.1)+H34</f>
        <v>1.5298799999999999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SUM(INICIO!J68)</f>
        <v>1.475986</v>
      </c>
      <c r="D34" s="10"/>
      <c r="E34" s="10"/>
      <c r="F34" s="10"/>
      <c r="G34" s="26" t="s">
        <v>5</v>
      </c>
      <c r="H34" s="27">
        <f>SUM(INICIO!P68)</f>
        <v>1.3907999999999998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1.6522703999999999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1.6369715999999999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1.6522703999999999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PROPER(INICIO!D69)</f>
        <v>Fz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SUM(INICIO!K69)</f>
        <v>2098.3384799999999</v>
      </c>
      <c r="D16" s="43"/>
      <c r="E16" s="43"/>
      <c r="F16" s="10"/>
      <c r="G16" s="26" t="s">
        <v>5</v>
      </c>
      <c r="H16" s="42">
        <f>SUM(INICIO!Q69)</f>
        <v>1793.1059999999998</v>
      </c>
      <c r="I16" s="43" t="s">
        <v>82</v>
      </c>
      <c r="J16" s="43">
        <v>1.2</v>
      </c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>
        <v>10</v>
      </c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SUM(INICIO!J69)</f>
        <v>1.40076</v>
      </c>
      <c r="D34" s="10"/>
      <c r="E34" s="10"/>
      <c r="F34" s="10"/>
      <c r="G34" s="26" t="s">
        <v>5</v>
      </c>
      <c r="H34" s="27">
        <f>SUM(INICIO!P69)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landscape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PROPER(INICIO!D70)</f>
        <v>Tubochap/Roca/Calvo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2390.7458329999999</v>
      </c>
      <c r="D6" s="40">
        <f>SUM(C16*0.04)+C16</f>
        <v>2323.7155760000001</v>
      </c>
      <c r="E6" s="40">
        <f>SUM(C16*0.04)+C16</f>
        <v>2323.7155760000001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2390.7458329999999</v>
      </c>
      <c r="D7" s="40">
        <f>SUM(C16*0.04)+C16</f>
        <v>2323.7155760000001</v>
      </c>
      <c r="E7" s="40">
        <f>SUM(C16*0.04)+C16</f>
        <v>2323.7155760000001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2413.0892519999998</v>
      </c>
      <c r="D8" s="40">
        <f>SUM(C16*0.05)+C16</f>
        <v>2346.0589949999999</v>
      </c>
      <c r="E8" s="40">
        <f>SUM(C16*0.05)+C16</f>
        <v>2346.0589949999999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2457.7760899999998</v>
      </c>
      <c r="D9" s="40">
        <f>SUM(C16*0.07)+C16</f>
        <v>2390.7458329999999</v>
      </c>
      <c r="E9" s="40">
        <f>SUM(C16*0.07)+C16</f>
        <v>2390.7458329999999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2502.4629279999999</v>
      </c>
      <c r="D10" s="40">
        <f>SUM(C16*0.09)+C16</f>
        <v>2435.432671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2591.8366040000001</v>
      </c>
      <c r="D11" s="40">
        <f>SUM(C16*0.13)+C16</f>
        <v>2524.8063469999997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2681.2102799999998</v>
      </c>
      <c r="D12" s="40">
        <f>SUM(C16*0.15)+C16</f>
        <v>2569.4931849999998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2815.270794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SUM(H16*0.09)+H16</f>
        <v>2028.9421319999997</v>
      </c>
      <c r="K13" s="9"/>
    </row>
    <row r="14" spans="1:11" ht="15.75" x14ac:dyDescent="0.25">
      <c r="A14" s="1"/>
      <c r="B14" s="17">
        <v>30</v>
      </c>
      <c r="C14" s="40">
        <f>SUM(C16*0.32)+C16</f>
        <v>2949.3313079999998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SUM(H16*0.09)+H16</f>
        <v>2028.9421319999997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SUM(INICIO!K70)</f>
        <v>2234.3418999999999</v>
      </c>
      <c r="D16" s="43"/>
      <c r="E16" s="43"/>
      <c r="F16" s="10"/>
      <c r="G16" s="26" t="s">
        <v>5</v>
      </c>
      <c r="H16" s="42">
        <f>SUM(INICIO!Q70)</f>
        <v>1861.4147999999998</v>
      </c>
      <c r="I16" s="55" t="s">
        <v>64</v>
      </c>
      <c r="J16" s="55">
        <v>1.75</v>
      </c>
      <c r="K16" s="184" t="s">
        <v>52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85">
        <v>-0.1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 t="s">
        <v>52</v>
      </c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1.5959584999999998</v>
      </c>
      <c r="D24" s="22">
        <f>SUM(C34*0.04)+C34</f>
        <v>1.551212</v>
      </c>
      <c r="E24" s="22">
        <f>SUM(C34*0.04)+C34</f>
        <v>1.551212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1.5959584999999998</v>
      </c>
      <c r="D25" s="22">
        <f>SUM(C34*0.04)+C34</f>
        <v>1.551212</v>
      </c>
      <c r="E25" s="22">
        <f>SUM(C34*0.04)+C34</f>
        <v>1.551212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1.6108739999999999</v>
      </c>
      <c r="D26" s="22">
        <f>SUM(C34*0.05)+C34</f>
        <v>1.5661274999999999</v>
      </c>
      <c r="E26" s="22">
        <f>SUM(C34*0.05)+C34</f>
        <v>1.5661274999999999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1.6407049999999999</v>
      </c>
      <c r="D27" s="22">
        <f>SUM(C34*0.07)+C34</f>
        <v>1.5959584999999998</v>
      </c>
      <c r="E27" s="22">
        <f>SUM(C34*0.07)+C34</f>
        <v>1.5959584999999998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1.6705359999999998</v>
      </c>
      <c r="D28" s="22">
        <f>SUM(C34*0.09)+C34</f>
        <v>1.6257895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1.7301979999999999</v>
      </c>
      <c r="D29" s="22">
        <f>SUM(C34*0.13)+C34</f>
        <v>1.6854514999999999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1.78986</v>
      </c>
      <c r="D30" s="22">
        <f>SUM(C34*0.15)+C34</f>
        <v>1.7152824999999998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1.8793530000000001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SUM(H34*0.09)+H34</f>
        <v>1.3544339999999999</v>
      </c>
      <c r="K31" s="9"/>
    </row>
    <row r="32" spans="1:11" s="1" customFormat="1" ht="15.75" x14ac:dyDescent="0.25">
      <c r="B32" s="17">
        <v>30</v>
      </c>
      <c r="C32" s="22">
        <f>SUM(C34*0.32)+C34</f>
        <v>1.9688459999999999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SUM(H34*0.09)+H34</f>
        <v>1.3544339999999999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SUM(INICIO!J70)</f>
        <v>1.4915499999999999</v>
      </c>
      <c r="D34" s="10"/>
      <c r="E34" s="10"/>
      <c r="F34" s="10"/>
      <c r="G34" s="26" t="s">
        <v>5</v>
      </c>
      <c r="H34" s="27">
        <f>SUM(INICIO!P70)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PROPER(INICIO!D71)</f>
        <v>Lisy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2005.2048239999999</v>
      </c>
      <c r="I7" s="40">
        <f>SUM(H16*0.11)+H16</f>
        <v>1952.4362759999999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1970.0257919999999</v>
      </c>
      <c r="I8" s="40">
        <f>SUM(H16*0.09)+H16</f>
        <v>1917.2572439999999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1952.4362759999999</v>
      </c>
      <c r="I9" s="40">
        <f>SUM(H16*0.08)+H16</f>
        <v>1899.6677279999999</v>
      </c>
      <c r="J9" s="40">
        <f>SUM(H16*0.08)+H16</f>
        <v>1899.6677279999999</v>
      </c>
      <c r="K9" s="44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1934.8467599999999</v>
      </c>
      <c r="I10" s="40">
        <f>SUM(H16*0.07+H16)</f>
        <v>1882.0782119999999</v>
      </c>
      <c r="J10" s="40">
        <f>SUM(H16*0.07)+H16</f>
        <v>1882.0782119999999</v>
      </c>
      <c r="K10" s="44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1952.4362759999999</v>
      </c>
      <c r="I11" s="40">
        <f>SUM(H16*0.08)+H16</f>
        <v>1899.6677279999999</v>
      </c>
      <c r="J11" s="40">
        <f>SUM(H16*0.08)+H16</f>
        <v>1899.6677279999999</v>
      </c>
      <c r="K11" s="44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1952.4362759999999</v>
      </c>
      <c r="I12" s="40">
        <f>SUM(H16*0.08)+H16</f>
        <v>1899.6677279999999</v>
      </c>
      <c r="J12" s="40">
        <f>SUM(H16*0.08)+H16</f>
        <v>1899.6677279999999</v>
      </c>
      <c r="K12" s="44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1970.0257919999999</v>
      </c>
      <c r="I13" s="40">
        <f>SUM(H16*0.09)+H16</f>
        <v>1917.2572439999999</v>
      </c>
      <c r="J13" s="40">
        <f>SUM(H16*0.09)+H16</f>
        <v>1917.2572439999999</v>
      </c>
      <c r="K13" s="44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1970.0257919999999</v>
      </c>
      <c r="I14" s="40">
        <f>SUM(H16*0.09)+H16</f>
        <v>1917.2572439999999</v>
      </c>
      <c r="J14" s="40">
        <f>SUM(H16*0.09)+H16</f>
        <v>1917.2572439999999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SUM(INICIO!K71)</f>
        <v>2059.48036</v>
      </c>
      <c r="D16" s="43"/>
      <c r="E16" s="43"/>
      <c r="F16" s="10"/>
      <c r="G16" s="26" t="s">
        <v>5</v>
      </c>
      <c r="H16" s="42">
        <f>SUM(INICIO!Q71)</f>
        <v>1758.9515999999999</v>
      </c>
      <c r="I16" s="43" t="s">
        <v>52</v>
      </c>
      <c r="J16" s="43" t="s">
        <v>246</v>
      </c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190" t="s">
        <v>52</v>
      </c>
      <c r="K17" s="44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2089.6345007999998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2070.2860332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2089.6345007999998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1.3385879999999999</v>
      </c>
      <c r="I25" s="22">
        <f>SUM(H34*0.11)+H34</f>
        <v>1.3033619999999999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1.3151039999999998</v>
      </c>
      <c r="I26" s="22">
        <f>SUM(H34*0.09)+H34</f>
        <v>1.2798779999999998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1.3033619999999999</v>
      </c>
      <c r="I27" s="22">
        <f>SUM(H34*0.08)+H34</f>
        <v>1.2681359999999999</v>
      </c>
      <c r="J27" s="22">
        <f>SUM(H34*0.08)+H34</f>
        <v>1.2681359999999999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1.29162</v>
      </c>
      <c r="I28" s="22">
        <f>SUM(H34*0.07+H34)</f>
        <v>1.256394</v>
      </c>
      <c r="J28" s="22">
        <f>SUM(H34*0.07)+H34</f>
        <v>1.256394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1.3033619999999999</v>
      </c>
      <c r="I29" s="22">
        <f>SUM(H34*0.08)+H34</f>
        <v>1.2681359999999999</v>
      </c>
      <c r="J29" s="22">
        <f>SUM(H34*0.08)+H34</f>
        <v>1.2681359999999999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1.3033619999999999</v>
      </c>
      <c r="I30" s="22">
        <f>SUM(H34*0.08)+H34</f>
        <v>1.2681359999999999</v>
      </c>
      <c r="J30" s="22">
        <f>SUM(H34*0.08)+H34</f>
        <v>1.2681359999999999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1.3151039999999998</v>
      </c>
      <c r="I31" s="22">
        <f>SUM(H34*0.09)+H34</f>
        <v>1.2798779999999998</v>
      </c>
      <c r="J31" s="22">
        <f>SUM(H34*0.09)+H34</f>
        <v>1.2798779999999998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1.3151039999999998</v>
      </c>
      <c r="I32" s="22">
        <f>SUM(H34*0.09)+H34</f>
        <v>1.2798779999999998</v>
      </c>
      <c r="J32" s="22">
        <f>SUM(H34*0.09)+H34</f>
        <v>1.2798779999999998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SUM(INICIO!J71)</f>
        <v>1.3748199999999999</v>
      </c>
      <c r="D34" s="10"/>
      <c r="E34" s="10"/>
      <c r="F34" s="10"/>
      <c r="G34" s="26" t="s">
        <v>5</v>
      </c>
      <c r="H34" s="27">
        <f>SUM(INICIO!P71)</f>
        <v>1.1741999999999999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1.3949495999999999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1.3820334000000001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1.3949495999999999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PROPER(INICIO!D72)</f>
        <v>Barra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2005.2048239999999</v>
      </c>
      <c r="I7" s="40">
        <f>SUM(H16*0.11)+H16</f>
        <v>1952.4362759999999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1970.0257919999999</v>
      </c>
      <c r="I8" s="40">
        <f>SUM(H16*0.09)+H16</f>
        <v>1917.2572439999999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1952.4362759999999</v>
      </c>
      <c r="I9" s="40">
        <f>SUM(H16*0.08)+H16</f>
        <v>1899.6677279999999</v>
      </c>
      <c r="J9" s="40">
        <f>SUM(H16*0.08)+H16</f>
        <v>1899.6677279999999</v>
      </c>
      <c r="K9" s="9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1934.8467599999999</v>
      </c>
      <c r="I10" s="40">
        <f>SUM(H16*0.07+H16)</f>
        <v>1882.0782119999999</v>
      </c>
      <c r="J10" s="40">
        <f>SUM(H16*0.07)+H16</f>
        <v>1882.0782119999999</v>
      </c>
      <c r="K10" s="9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1952.4362759999999</v>
      </c>
      <c r="I11" s="40">
        <f>SUM(H16*0.08)+H16</f>
        <v>1899.6677279999999</v>
      </c>
      <c r="J11" s="40">
        <f>SUM(H16*0.08)+H16</f>
        <v>1899.6677279999999</v>
      </c>
      <c r="K11" s="9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1952.4362759999999</v>
      </c>
      <c r="I12" s="40">
        <f>SUM(H16*0.08)+H16</f>
        <v>1899.6677279999999</v>
      </c>
      <c r="J12" s="40">
        <f>SUM(H16*0.08)+H16</f>
        <v>1899.6677279999999</v>
      </c>
      <c r="K12" s="9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1970.0257919999999</v>
      </c>
      <c r="I13" s="40">
        <f>SUM(H16*0.09)+H16</f>
        <v>1917.2572439999999</v>
      </c>
      <c r="J13" s="40">
        <f>SUM(H16*0.1)+H16</f>
        <v>1934.8467599999999</v>
      </c>
      <c r="K13" s="9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1970.0257919999999</v>
      </c>
      <c r="I14" s="40">
        <f>SUM(H16*0.09)+H16</f>
        <v>1917.2572439999999</v>
      </c>
      <c r="J14" s="40">
        <f>SUM(H16*0.1)+H16</f>
        <v>1934.8467599999999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SUM(INICIO!K72)</f>
        <v>2059.48036</v>
      </c>
      <c r="D16" s="43"/>
      <c r="E16" s="43"/>
      <c r="F16" s="10"/>
      <c r="G16" s="26" t="s">
        <v>5</v>
      </c>
      <c r="H16" s="42">
        <f>SUM(INICIO!Q72)</f>
        <v>1758.9515999999999</v>
      </c>
      <c r="I16" s="43"/>
      <c r="J16" s="215" t="s">
        <v>289</v>
      </c>
      <c r="K16" s="9" t="s">
        <v>354</v>
      </c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 t="s">
        <v>221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2089.6345007999998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2070.2860332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2089.6345007999998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1.3385879999999999</v>
      </c>
      <c r="I25" s="22">
        <f>SUM(H34*0.11)+H34</f>
        <v>1.3033619999999999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1.3151039999999998</v>
      </c>
      <c r="I26" s="22">
        <f>SUM(H34*0.09)+H34</f>
        <v>1.2798779999999998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1.3033619999999999</v>
      </c>
      <c r="I27" s="22">
        <f>SUM(H34*0.08)+H34</f>
        <v>1.2681359999999999</v>
      </c>
      <c r="J27" s="22">
        <f>SUM(H34*0.08)+H34</f>
        <v>1.2681359999999999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1.29162</v>
      </c>
      <c r="I28" s="22">
        <f>SUM(H34*0.07+H34)</f>
        <v>1.256394</v>
      </c>
      <c r="J28" s="22">
        <f>SUM(H34*0.07)+H34</f>
        <v>1.256394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1.3033619999999999</v>
      </c>
      <c r="I29" s="22">
        <f>SUM(H34*0.08)+H34</f>
        <v>1.2681359999999999</v>
      </c>
      <c r="J29" s="22">
        <f>SUM(H34*0.08)+H34</f>
        <v>1.2681359999999999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1.3033619999999999</v>
      </c>
      <c r="I30" s="22">
        <f>SUM(H34*0.08)+H34</f>
        <v>1.2681359999999999</v>
      </c>
      <c r="J30" s="22">
        <f>SUM(H34*0.08)+H34</f>
        <v>1.2681359999999999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1.3151039999999998</v>
      </c>
      <c r="I31" s="22">
        <f>SUM(H34*0.09)+H34</f>
        <v>1.2798779999999998</v>
      </c>
      <c r="J31" s="22">
        <f>SUM(H34*0.1)+H34</f>
        <v>1.29162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1.3151039999999998</v>
      </c>
      <c r="I32" s="22">
        <f>SUM(H34*0.09)+H34</f>
        <v>1.2798779999999998</v>
      </c>
      <c r="J32" s="22">
        <f>SUM(H34*0.1)+H34</f>
        <v>1.29162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SUM(INICIO!J72)</f>
        <v>1.3748199999999999</v>
      </c>
      <c r="D34" s="10"/>
      <c r="E34" s="10"/>
      <c r="F34" s="10"/>
      <c r="G34" s="26" t="s">
        <v>5</v>
      </c>
      <c r="H34" s="27">
        <f>SUM(INICIO!P72)</f>
        <v>1.1741999999999999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1.3949495999999999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1.3820334000000001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1.3949495999999999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PROPER(INICIO!D73)</f>
        <v>Vacareza/Algema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SUM(INICIO!K73)</f>
        <v>2059.48036</v>
      </c>
      <c r="D16" s="43"/>
      <c r="E16" s="43"/>
      <c r="F16" s="10"/>
      <c r="G16" s="26" t="s">
        <v>5</v>
      </c>
      <c r="H16" s="42">
        <f>SUM(INICIO!Q73)</f>
        <v>1793.1059999999998</v>
      </c>
      <c r="I16" s="43"/>
      <c r="J16" s="43" t="s">
        <v>301</v>
      </c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SUM(INICIO!J73)</f>
        <v>1.3748199999999999</v>
      </c>
      <c r="D34" s="10"/>
      <c r="E34" s="10"/>
      <c r="F34" s="10"/>
      <c r="G34" s="26" t="s">
        <v>5</v>
      </c>
      <c r="H34" s="27">
        <f>SUM(INICIO!P73)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40"/>
  <sheetViews>
    <sheetView showGridLines="0" topLeftCell="A4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PROPER(INICIO!D74)</f>
        <v>Demiquieli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2369.9567388</v>
      </c>
      <c r="D6" s="40">
        <f>SUM(C16*0.04)+C16</f>
        <v>2303.5093535999999</v>
      </c>
      <c r="E6" s="40">
        <f>SUM(C16*0.04)+C16</f>
        <v>2303.5093535999999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2369.9567388</v>
      </c>
      <c r="D7" s="40">
        <f>SUM(C16*0.04)+C16</f>
        <v>2303.5093535999999</v>
      </c>
      <c r="E7" s="40">
        <f>SUM(C16*0.04)+C16</f>
        <v>2303.5093535999999</v>
      </c>
      <c r="F7" s="16"/>
      <c r="G7" s="18">
        <v>2</v>
      </c>
      <c r="H7" s="40">
        <f>SUM(H16*0.14)+H16</f>
        <v>2160.9488879999999</v>
      </c>
      <c r="I7" s="40">
        <f>SUM(H16*0.11)+H16</f>
        <v>2104.0818119999994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2392.1058671999999</v>
      </c>
      <c r="D8" s="40">
        <f>SUM(C16*0.05)+C16</f>
        <v>2325.6584819999998</v>
      </c>
      <c r="E8" s="40">
        <f>SUM(C16*0.05)+C16</f>
        <v>2325.6584819999998</v>
      </c>
      <c r="F8" s="16"/>
      <c r="G8" s="18">
        <v>2.5</v>
      </c>
      <c r="H8" s="40">
        <f>SUM(H16*0.12)+H16</f>
        <v>2123.0375039999994</v>
      </c>
      <c r="I8" s="40">
        <f>SUM(H16*0.09)+H16</f>
        <v>2066.1704279999994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2436.4041240000001</v>
      </c>
      <c r="D9" s="40">
        <f>SUM(C16*0.07)+C16</f>
        <v>2369.9567388</v>
      </c>
      <c r="E9" s="40">
        <f>SUM(C16*0.07)+C16</f>
        <v>2369.9567388</v>
      </c>
      <c r="F9" s="16"/>
      <c r="G9" s="18">
        <v>3.17</v>
      </c>
      <c r="H9" s="40">
        <f>SUM(H16*0.11)+H16</f>
        <v>2104.0818119999994</v>
      </c>
      <c r="I9" s="40">
        <f>SUM(H16*0.08)+H16</f>
        <v>2047.2147359999997</v>
      </c>
      <c r="J9" s="40">
        <f>SUM(H16*0.08)+H16</f>
        <v>2047.2147359999997</v>
      </c>
      <c r="K9" s="9"/>
    </row>
    <row r="10" spans="1:11" ht="15.75" x14ac:dyDescent="0.25">
      <c r="A10" s="1"/>
      <c r="B10" s="17">
        <v>0.65</v>
      </c>
      <c r="C10" s="40">
        <f>SUM(C16*0.12)+C16</f>
        <v>2480.7023807999999</v>
      </c>
      <c r="D10" s="40">
        <f>SUM(C16*0.09)+C16</f>
        <v>2414.2549955999998</v>
      </c>
      <c r="E10" s="40" t="s">
        <v>2</v>
      </c>
      <c r="F10" s="16"/>
      <c r="G10" s="18" t="s">
        <v>4</v>
      </c>
      <c r="H10" s="40">
        <f>SUM(H16*0.1)+H16</f>
        <v>2085.1261199999999</v>
      </c>
      <c r="I10" s="40">
        <f>SUM(H16*0.07+H16)</f>
        <v>2028.2590439999997</v>
      </c>
      <c r="J10" s="40">
        <f>SUM(H16*0.07)+H16</f>
        <v>2028.2590439999997</v>
      </c>
      <c r="K10" s="9"/>
    </row>
    <row r="11" spans="1:11" ht="15.75" x14ac:dyDescent="0.25">
      <c r="A11" s="1"/>
      <c r="B11" s="17">
        <v>24</v>
      </c>
      <c r="C11" s="40">
        <f>SUM(C16*0.16)+C16</f>
        <v>2569.2988943999999</v>
      </c>
      <c r="D11" s="40">
        <f>SUM(C16*0.13)+C16</f>
        <v>2502.8515091999998</v>
      </c>
      <c r="E11" s="40" t="s">
        <v>2</v>
      </c>
      <c r="F11" s="16"/>
      <c r="G11" s="18">
        <v>6.35</v>
      </c>
      <c r="H11" s="40">
        <f>SUM(H16*0.11)+H16</f>
        <v>2104.0818119999994</v>
      </c>
      <c r="I11" s="40">
        <f>SUM(H16*0.08)+H16</f>
        <v>2047.2147359999997</v>
      </c>
      <c r="J11" s="40">
        <f>SUM(H16*0.08)+H16</f>
        <v>2047.2147359999997</v>
      </c>
      <c r="K11" s="9"/>
    </row>
    <row r="12" spans="1:11" ht="15.75" x14ac:dyDescent="0.25">
      <c r="A12" s="1"/>
      <c r="B12" s="17">
        <v>26</v>
      </c>
      <c r="C12" s="40">
        <f>SUM(C16*0.2)+C16</f>
        <v>2657.8954079999999</v>
      </c>
      <c r="D12" s="40">
        <f>SUM(C16*0.15)+C16</f>
        <v>2547.149766</v>
      </c>
      <c r="E12" s="40" t="s">
        <v>2</v>
      </c>
      <c r="F12" s="16"/>
      <c r="G12" s="18">
        <v>8</v>
      </c>
      <c r="H12" s="40">
        <f>SUM(H16*0.11)+H16</f>
        <v>2104.0818119999994</v>
      </c>
      <c r="I12" s="40">
        <f>SUM(H16*0.08)+H16</f>
        <v>2047.2147359999997</v>
      </c>
      <c r="J12" s="40">
        <f>SUM(H16*0.08)+H16</f>
        <v>2047.2147359999997</v>
      </c>
      <c r="K12" s="9"/>
    </row>
    <row r="13" spans="1:11" ht="15.75" x14ac:dyDescent="0.25">
      <c r="A13" s="1"/>
      <c r="B13" s="17">
        <v>27</v>
      </c>
      <c r="C13" s="40">
        <f>SUM(C16*0.26)+C16</f>
        <v>2790.7901784000001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2123.0375039999994</v>
      </c>
      <c r="I13" s="40">
        <f>SUM(H16*0.09)+H16</f>
        <v>2066.1704279999994</v>
      </c>
      <c r="J13" s="40">
        <f>SUM(H16*0.1)+H16</f>
        <v>2085.1261199999999</v>
      </c>
      <c r="K13" s="9"/>
    </row>
    <row r="14" spans="1:11" ht="15.75" x14ac:dyDescent="0.25">
      <c r="A14" s="1"/>
      <c r="B14" s="17">
        <v>30</v>
      </c>
      <c r="C14" s="40">
        <f>SUM(C16*0.32)+C16</f>
        <v>2923.6849487999998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2123.0375039999994</v>
      </c>
      <c r="I14" s="40">
        <f>SUM(H16*0.09)+H16</f>
        <v>2066.1704279999994</v>
      </c>
      <c r="J14" s="40">
        <f>SUM(H16*0.1)+H16</f>
        <v>2085.1261199999999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SUM(INICIO!K74)</f>
        <v>2214.91284</v>
      </c>
      <c r="D16" s="43"/>
      <c r="E16" s="43"/>
      <c r="F16" s="10"/>
      <c r="G16" s="26" t="s">
        <v>5</v>
      </c>
      <c r="H16" s="42">
        <f>SUM(INICIO!Q74)</f>
        <v>1895.5691999999997</v>
      </c>
      <c r="I16" s="43"/>
      <c r="J16" s="43" t="s">
        <v>251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2251.9362095999995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2231.0849483999996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2251.9362095999995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1.5820806000000001</v>
      </c>
      <c r="D24" s="22">
        <f>SUM(C34*0.04)+C34</f>
        <v>1.5377232000000001</v>
      </c>
      <c r="E24" s="22">
        <f>SUM(C34*0.04)+C34</f>
        <v>1.5377232000000001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1.5820806000000001</v>
      </c>
      <c r="D25" s="22">
        <f>SUM(C34*0.04)+C34</f>
        <v>1.5377232000000001</v>
      </c>
      <c r="E25" s="22">
        <f>SUM(C34*0.04)+C34</f>
        <v>1.5377232000000001</v>
      </c>
      <c r="F25" s="16"/>
      <c r="G25" s="18">
        <v>2</v>
      </c>
      <c r="H25" s="22">
        <f>SUM(H34*0.14)+H34</f>
        <v>1.4425559999999999</v>
      </c>
      <c r="I25" s="22">
        <f>SUM(H34*0.11)+H34</f>
        <v>1.4045939999999999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1.5968663999999999</v>
      </c>
      <c r="D26" s="22">
        <f>SUM(C34*0.05)+C34</f>
        <v>1.5525089999999999</v>
      </c>
      <c r="E26" s="22">
        <f>SUM(C34*0.05)+C34</f>
        <v>1.5525089999999999</v>
      </c>
      <c r="F26" s="16"/>
      <c r="G26" s="18">
        <v>2.5</v>
      </c>
      <c r="H26" s="22">
        <f>SUM(H34*0.12)+H34</f>
        <v>1.4172479999999998</v>
      </c>
      <c r="I26" s="22">
        <f>SUM(H34*0.09)+H34</f>
        <v>1.3792859999999998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1.6264380000000001</v>
      </c>
      <c r="D27" s="22">
        <f>SUM(C34*0.07)+C34</f>
        <v>1.5820806000000001</v>
      </c>
      <c r="E27" s="22">
        <f>SUM(C34*0.07)+C34</f>
        <v>1.5820806000000001</v>
      </c>
      <c r="F27" s="16"/>
      <c r="G27" s="18">
        <v>3.17</v>
      </c>
      <c r="H27" s="22">
        <f>SUM(H34*0.11)+H34</f>
        <v>1.4045939999999999</v>
      </c>
      <c r="I27" s="22">
        <f>SUM(H34*0.08)+H34</f>
        <v>1.3666319999999998</v>
      </c>
      <c r="J27" s="22">
        <f>SUM(H34*0.08)+H34</f>
        <v>1.3666319999999998</v>
      </c>
      <c r="K27" s="9"/>
    </row>
    <row r="28" spans="1:11" s="1" customFormat="1" ht="15.75" x14ac:dyDescent="0.25">
      <c r="B28" s="17">
        <v>0.65</v>
      </c>
      <c r="C28" s="22">
        <f>SUM(C34*0.12)+C34</f>
        <v>1.6560096</v>
      </c>
      <c r="D28" s="22">
        <f>SUM(C34*0.09)+C34</f>
        <v>1.6116522</v>
      </c>
      <c r="E28" s="23" t="s">
        <v>2</v>
      </c>
      <c r="F28" s="16"/>
      <c r="G28" s="18" t="s">
        <v>4</v>
      </c>
      <c r="H28" s="22">
        <f>SUM(H34*0.1)+H34</f>
        <v>1.39194</v>
      </c>
      <c r="I28" s="22">
        <f>SUM(H34*0.07+H34)</f>
        <v>1.3539779999999999</v>
      </c>
      <c r="J28" s="22">
        <f>SUM(H34*0.07)+H34</f>
        <v>1.3539779999999999</v>
      </c>
      <c r="K28" s="9"/>
    </row>
    <row r="29" spans="1:11" s="1" customFormat="1" ht="15.75" x14ac:dyDescent="0.25">
      <c r="B29" s="17">
        <v>24</v>
      </c>
      <c r="C29" s="22">
        <f>SUM(C34*0.16)+C34</f>
        <v>1.7151528</v>
      </c>
      <c r="D29" s="22">
        <f>SUM(C34*0.13)+C34</f>
        <v>1.6707954</v>
      </c>
      <c r="E29" s="23" t="s">
        <v>2</v>
      </c>
      <c r="F29" s="16"/>
      <c r="G29" s="18">
        <v>6.35</v>
      </c>
      <c r="H29" s="22">
        <f>SUM(H34*0.11)+H34</f>
        <v>1.4045939999999999</v>
      </c>
      <c r="I29" s="22">
        <f>SUM(H34*0.08)+H34</f>
        <v>1.3666319999999998</v>
      </c>
      <c r="J29" s="22">
        <f>SUM(H34*0.08)+H34</f>
        <v>1.3666319999999998</v>
      </c>
      <c r="K29" s="9"/>
    </row>
    <row r="30" spans="1:11" s="1" customFormat="1" ht="15.75" x14ac:dyDescent="0.25">
      <c r="B30" s="17">
        <v>26</v>
      </c>
      <c r="C30" s="22">
        <f>SUM(C34*0.2)+C34</f>
        <v>1.7742960000000001</v>
      </c>
      <c r="D30" s="22">
        <f>SUM(C34*0.15)+C34</f>
        <v>1.700367</v>
      </c>
      <c r="E30" s="23" t="s">
        <v>2</v>
      </c>
      <c r="F30" s="16"/>
      <c r="G30" s="18">
        <v>8</v>
      </c>
      <c r="H30" s="22">
        <f>SUM(H34*0.11)+H34</f>
        <v>1.4045939999999999</v>
      </c>
      <c r="I30" s="22">
        <f>SUM(H34*0.08)+H34</f>
        <v>1.3666319999999998</v>
      </c>
      <c r="J30" s="22">
        <f>SUM(H34*0.08)+H34</f>
        <v>1.3666319999999998</v>
      </c>
      <c r="K30" s="9"/>
    </row>
    <row r="31" spans="1:11" s="1" customFormat="1" ht="15.75" x14ac:dyDescent="0.25">
      <c r="B31" s="17">
        <v>27</v>
      </c>
      <c r="C31" s="22">
        <f>SUM(C34*0.26)+C34</f>
        <v>1.8630108000000001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1.4172479999999998</v>
      </c>
      <c r="I31" s="22">
        <f>SUM(H34*0.09)+H34</f>
        <v>1.3792859999999998</v>
      </c>
      <c r="J31" s="22">
        <f>SUM(H34*0.1)+H34</f>
        <v>1.39194</v>
      </c>
      <c r="K31" s="9"/>
    </row>
    <row r="32" spans="1:11" s="1" customFormat="1" ht="15.75" x14ac:dyDescent="0.25">
      <c r="B32" s="17">
        <v>30</v>
      </c>
      <c r="C32" s="22">
        <f>SUM(C34*0.32)+C34</f>
        <v>1.9517256000000001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1.4172479999999998</v>
      </c>
      <c r="I32" s="22">
        <f>SUM(H34*0.09)+H34</f>
        <v>1.3792859999999998</v>
      </c>
      <c r="J32" s="22">
        <f>SUM(H34*0.1)+H34</f>
        <v>1.39194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SUM(INICIO!J74)</f>
        <v>1.47858</v>
      </c>
      <c r="D34" s="10"/>
      <c r="E34" s="10"/>
      <c r="F34" s="10"/>
      <c r="G34" s="26" t="s">
        <v>5</v>
      </c>
      <c r="H34" s="27">
        <f>SUM(INICIO!P74)</f>
        <v>1.2653999999999999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1.5032951999999997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1.4893757999999999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1.5032951999999997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PROPER(INICIO!D75)</f>
        <v>Boero Reynox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SUM(INICIO!K75)</f>
        <v>2098.3384799999999</v>
      </c>
      <c r="D16" s="43"/>
      <c r="E16" s="43"/>
      <c r="F16" s="10"/>
      <c r="G16" s="26" t="s">
        <v>5</v>
      </c>
      <c r="H16" s="42">
        <f>SUM(INICIO!Q75)</f>
        <v>1793.1059999999998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SUM(INICIO!J75)</f>
        <v>1.40076</v>
      </c>
      <c r="D34" s="10"/>
      <c r="E34" s="10"/>
      <c r="F34" s="10"/>
      <c r="G34" s="26" t="s">
        <v>5</v>
      </c>
      <c r="H34" s="27">
        <f>SUM(INICIO!P75)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40"/>
  <sheetViews>
    <sheetView showGridLines="0" topLeftCell="A7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PROPER(INICIO!D76)</f>
        <v>Serviprod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SUM(H16*0.09)+H16</f>
        <v>1954.4855399999997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SUM(H16*0.09)+H16</f>
        <v>1954.4855399999997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SUM(INICIO!K76)</f>
        <v>2098.3384799999999</v>
      </c>
      <c r="D16" s="43"/>
      <c r="E16" s="43"/>
      <c r="F16" s="10"/>
      <c r="G16" s="26" t="s">
        <v>5</v>
      </c>
      <c r="H16" s="42">
        <f>SUM(INICIO!Q76)</f>
        <v>1793.1059999999998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SUM(H34*0.09)+H34</f>
        <v>1.3047299999999997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SUM(H34*0.09)+H34</f>
        <v>1.3047299999999997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SUM(INICIO!J76)</f>
        <v>1.40076</v>
      </c>
      <c r="D34" s="10"/>
      <c r="E34" s="10"/>
      <c r="F34" s="10"/>
      <c r="G34" s="26" t="s">
        <v>5</v>
      </c>
      <c r="H34" s="27">
        <f>SUM(INICIO!P76)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PROPER(INICIO!D77)</f>
        <v>Complementos Dep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2224.4330793999998</v>
      </c>
      <c r="D6" s="40">
        <f>SUM(C16*0.04)+C16</f>
        <v>2162.0657968</v>
      </c>
      <c r="E6" s="40">
        <f>SUM(C16*0.04)+C16</f>
        <v>2162.0657968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2224.4330793999998</v>
      </c>
      <c r="D7" s="40">
        <f>SUM(C16*0.04)+C16</f>
        <v>2162.0657968</v>
      </c>
      <c r="E7" s="40">
        <f>SUM(C16*0.04)+C16</f>
        <v>2162.0657968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2245.2221736000001</v>
      </c>
      <c r="D8" s="40">
        <f>SUM(C16*0.05)+C16</f>
        <v>2182.854891</v>
      </c>
      <c r="E8" s="40">
        <f>SUM(C16*0.05)+C16</f>
        <v>2182.854891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2286.800362</v>
      </c>
      <c r="D9" s="40">
        <f>SUM(C16*0.07)+C16</f>
        <v>2224.4330793999998</v>
      </c>
      <c r="E9" s="40">
        <f>SUM(C16*0.07)+C16</f>
        <v>2224.4330793999998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2328.3785503999998</v>
      </c>
      <c r="D10" s="40">
        <f>SUM(C16*0.09)+C16</f>
        <v>2266.0112678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2411.5349271999999</v>
      </c>
      <c r="D11" s="40">
        <f>SUM(C16*0.13)+C16</f>
        <v>2349.1676446000001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2494.6913039999999</v>
      </c>
      <c r="D12" s="40">
        <f>SUM(C16*0.15)+C16</f>
        <v>2390.7458329999999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2619.4258691999999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2744.1604343999998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SUM(INICIO!K77)</f>
        <v>2078.90942</v>
      </c>
      <c r="D16" s="43"/>
      <c r="E16" s="43"/>
      <c r="F16" s="10"/>
      <c r="G16" s="26" t="s">
        <v>5</v>
      </c>
      <c r="H16" s="42">
        <f>SUM(INICIO!Q77)</f>
        <v>1793.1059999999998</v>
      </c>
      <c r="I16" s="43"/>
      <c r="J16" s="43" t="s">
        <v>222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1.4849352999999998</v>
      </c>
      <c r="D24" s="22">
        <f>SUM(C34*0.04)+C34</f>
        <v>1.4433015999999999</v>
      </c>
      <c r="E24" s="22">
        <f>SUM(C34*0.04)+C34</f>
        <v>1.4433015999999999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1.4849352999999998</v>
      </c>
      <c r="D25" s="22">
        <f>SUM(C34*0.04)+C34</f>
        <v>1.4433015999999999</v>
      </c>
      <c r="E25" s="22">
        <f>SUM(C34*0.04)+C34</f>
        <v>1.4433015999999999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1.4988131999999998</v>
      </c>
      <c r="D26" s="22">
        <f>SUM(C34*0.05)+C34</f>
        <v>1.4571794999999998</v>
      </c>
      <c r="E26" s="22">
        <f>SUM(C34*0.05)+C34</f>
        <v>1.4571794999999998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1.5265689999999998</v>
      </c>
      <c r="D27" s="22">
        <f>SUM(C34*0.07)+C34</f>
        <v>1.4849352999999998</v>
      </c>
      <c r="E27" s="22">
        <f>SUM(C34*0.07)+C34</f>
        <v>1.4849352999999998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1.5543247999999998</v>
      </c>
      <c r="D28" s="22">
        <f>SUM(C34*0.09)+C34</f>
        <v>1.5126910999999998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1.6098363999999998</v>
      </c>
      <c r="D29" s="22">
        <f>SUM(C34*0.13)+C34</f>
        <v>1.5682026999999998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1.6653479999999998</v>
      </c>
      <c r="D30" s="22">
        <f>SUM(C34*0.15)+C34</f>
        <v>1.5959584999999998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1.7486153999999998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1.8318827999999998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SUM(INICIO!J77)</f>
        <v>1.3877899999999999</v>
      </c>
      <c r="D34" s="10"/>
      <c r="E34" s="10"/>
      <c r="F34" s="10"/>
      <c r="G34" s="26" t="s">
        <v>5</v>
      </c>
      <c r="H34" s="27">
        <f>SUM(INICIO!P77)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49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PROPER(INICIO!D78)</f>
        <v>Scaglione/Cajda/Palumieri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2203.6439851999999</v>
      </c>
      <c r="D6" s="40">
        <f>SUM(C16*0.04)+C16</f>
        <v>2141.8595743999999</v>
      </c>
      <c r="E6" s="40">
        <f>SUM(C16*0.04)+C16</f>
        <v>2141.8595743999999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2203.6439851999999</v>
      </c>
      <c r="D7" s="40">
        <f>SUM(C16*0.04)+C16</f>
        <v>2141.8595743999999</v>
      </c>
      <c r="E7" s="40">
        <f>SUM(C16*0.04)+C16</f>
        <v>2141.8595743999999</v>
      </c>
      <c r="F7" s="16"/>
      <c r="G7" s="18">
        <v>2</v>
      </c>
      <c r="H7" s="40">
        <f>SUM(H16*0.14)+H16</f>
        <v>1985.7368159999996</v>
      </c>
      <c r="I7" s="40">
        <f>SUM(H16*0.11)+H16</f>
        <v>1933.4805839999997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2224.2387887999998</v>
      </c>
      <c r="D8" s="40">
        <f>SUM(C16*0.05)+C16</f>
        <v>2162.4543779999999</v>
      </c>
      <c r="E8" s="40">
        <f>SUM(C16*0.05)+C16</f>
        <v>2162.4543779999999</v>
      </c>
      <c r="F8" s="16"/>
      <c r="G8" s="18">
        <v>2.5</v>
      </c>
      <c r="H8" s="40">
        <f>SUM(H16*0.12)+H16</f>
        <v>1950.8993279999997</v>
      </c>
      <c r="I8" s="40">
        <f>SUM(H16*0.09)+H16</f>
        <v>1898.6430959999998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2265.4283960000002</v>
      </c>
      <c r="D9" s="40">
        <f>SUM(C16*0.07)+C16</f>
        <v>2203.6439851999999</v>
      </c>
      <c r="E9" s="40">
        <f>SUM(C16*0.07)+C16</f>
        <v>2203.6439851999999</v>
      </c>
      <c r="F9" s="16"/>
      <c r="G9" s="18">
        <v>3.17</v>
      </c>
      <c r="H9" s="40">
        <f>SUM(H16*0.11)+H16</f>
        <v>1933.4805839999997</v>
      </c>
      <c r="I9" s="40">
        <f>SUM(H16*0.08)+H16</f>
        <v>1881.2243519999997</v>
      </c>
      <c r="J9" s="40">
        <f>SUM(H16*0.08)+H16</f>
        <v>1881.2243519999997</v>
      </c>
      <c r="K9" s="9"/>
    </row>
    <row r="10" spans="1:11" ht="15.75" x14ac:dyDescent="0.25">
      <c r="A10" s="1"/>
      <c r="B10" s="17">
        <v>0.65</v>
      </c>
      <c r="C10" s="40">
        <f>SUM(C16*0.12)+C16</f>
        <v>2306.6180032000002</v>
      </c>
      <c r="D10" s="40">
        <f>SUM(C16*0.09)+C16</f>
        <v>2244.8335923999998</v>
      </c>
      <c r="E10" s="40" t="s">
        <v>2</v>
      </c>
      <c r="F10" s="16"/>
      <c r="G10" s="18" t="s">
        <v>4</v>
      </c>
      <c r="H10" s="40">
        <f>SUM(H16*0.1)+H16</f>
        <v>1916.0618399999996</v>
      </c>
      <c r="I10" s="40">
        <f>SUM(H16*0.07+H16)</f>
        <v>1863.8056079999997</v>
      </c>
      <c r="J10" s="40">
        <f>SUM(H16*0.07)+H16</f>
        <v>1863.8056079999997</v>
      </c>
      <c r="K10" s="9"/>
    </row>
    <row r="11" spans="1:11" ht="15.75" x14ac:dyDescent="0.25">
      <c r="A11" s="1"/>
      <c r="B11" s="17">
        <v>24</v>
      </c>
      <c r="C11" s="40">
        <f>SUM(C16*0.16)+C16</f>
        <v>2388.9972176000001</v>
      </c>
      <c r="D11" s="40">
        <f>SUM(C16*0.13)+C16</f>
        <v>2327.2128068000002</v>
      </c>
      <c r="E11" s="40" t="s">
        <v>2</v>
      </c>
      <c r="F11" s="16"/>
      <c r="G11" s="18">
        <v>6.35</v>
      </c>
      <c r="H11" s="40">
        <f>SUM(H16*0.11)+H16</f>
        <v>1933.4805839999997</v>
      </c>
      <c r="I11" s="40">
        <f>SUM(H16*0.08)+H16</f>
        <v>1881.2243519999997</v>
      </c>
      <c r="J11" s="40">
        <f>SUM(H16*0.08)+H16</f>
        <v>1881.2243519999997</v>
      </c>
      <c r="K11" s="9"/>
    </row>
    <row r="12" spans="1:11" ht="15.75" x14ac:dyDescent="0.25">
      <c r="A12" s="1"/>
      <c r="B12" s="17">
        <v>26</v>
      </c>
      <c r="C12" s="40">
        <f>SUM(C16*0.2)+C16</f>
        <v>2471.376432</v>
      </c>
      <c r="D12" s="40">
        <f>SUM(C16*0.15)+C16</f>
        <v>2368.4024140000001</v>
      </c>
      <c r="E12" s="40" t="s">
        <v>2</v>
      </c>
      <c r="F12" s="16"/>
      <c r="G12" s="18">
        <v>8</v>
      </c>
      <c r="H12" s="40">
        <f>SUM(H16*0.11)+H16</f>
        <v>1933.4805839999997</v>
      </c>
      <c r="I12" s="40">
        <f>SUM(H16*0.08)+H16</f>
        <v>1881.2243519999997</v>
      </c>
      <c r="J12" s="40">
        <f>SUM(H16*0.08)+H16</f>
        <v>1881.2243519999997</v>
      </c>
      <c r="K12" s="9"/>
    </row>
    <row r="13" spans="1:11" ht="15.75" x14ac:dyDescent="0.25">
      <c r="A13" s="1"/>
      <c r="B13" s="17">
        <v>27</v>
      </c>
      <c r="C13" s="40">
        <f>SUM(C16*0.26)+C16</f>
        <v>2594.9452535999999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1950.8993279999997</v>
      </c>
      <c r="I13" s="40">
        <f>SUM(H16*0.09)+H16</f>
        <v>1898.6430959999998</v>
      </c>
      <c r="J13" s="40">
        <f>SUM(H16*0.1)+H16</f>
        <v>1916.0618399999996</v>
      </c>
      <c r="K13" s="9"/>
    </row>
    <row r="14" spans="1:11" ht="15.75" x14ac:dyDescent="0.25">
      <c r="A14" s="1"/>
      <c r="B14" s="17">
        <v>30</v>
      </c>
      <c r="C14" s="40">
        <f>SUM(C16*0.32)+C16</f>
        <v>2718.5140752000002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1950.8993279999997</v>
      </c>
      <c r="I14" s="40">
        <f>SUM(H16*0.09)+H16</f>
        <v>1898.6430959999998</v>
      </c>
      <c r="J14" s="40">
        <f>SUM(H16*0.1)+H16</f>
        <v>1916.0618399999996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SUM(INICIO!K78)</f>
        <v>2059.48036</v>
      </c>
      <c r="D16" s="43"/>
      <c r="E16" s="43"/>
      <c r="F16" s="10"/>
      <c r="G16" s="26" t="s">
        <v>5</v>
      </c>
      <c r="H16" s="42">
        <f>SUM(INICIO!Q78)</f>
        <v>1741.8743999999997</v>
      </c>
      <c r="I16" s="43" t="s">
        <v>260</v>
      </c>
      <c r="J16" s="43" t="s">
        <v>52</v>
      </c>
      <c r="K16" s="9" t="s">
        <v>226</v>
      </c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 t="s">
        <v>285</v>
      </c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2069.3467871999997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2050.1861687999995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2069.3467871999997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1.4710573999999998</v>
      </c>
      <c r="D24" s="22">
        <f>SUM(C34*0.04)+C34</f>
        <v>1.4298127999999999</v>
      </c>
      <c r="E24" s="22">
        <f>SUM(C34*0.04)+C34</f>
        <v>1.4298127999999999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1.4710573999999998</v>
      </c>
      <c r="D25" s="22">
        <f>SUM(C34*0.04)+C34</f>
        <v>1.4298127999999999</v>
      </c>
      <c r="E25" s="22">
        <f>SUM(C34*0.04)+C34</f>
        <v>1.4298127999999999</v>
      </c>
      <c r="F25" s="16"/>
      <c r="G25" s="18">
        <v>2</v>
      </c>
      <c r="H25" s="22">
        <f>SUM(H34*0.14)+H34</f>
        <v>1.3255919999999999</v>
      </c>
      <c r="I25" s="22">
        <f>SUM(H34*0.11)+H34</f>
        <v>1.2907079999999997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1.4848055999999998</v>
      </c>
      <c r="D26" s="22">
        <f>SUM(C34*0.05)+C34</f>
        <v>1.4435609999999999</v>
      </c>
      <c r="E26" s="22">
        <f>SUM(C34*0.05)+C34</f>
        <v>1.4435609999999999</v>
      </c>
      <c r="F26" s="16"/>
      <c r="G26" s="18">
        <v>2.5</v>
      </c>
      <c r="H26" s="22">
        <f>SUM(H34*0.12)+H34</f>
        <v>1.3023359999999997</v>
      </c>
      <c r="I26" s="22">
        <f>SUM(H34*0.09)+H34</f>
        <v>1.2674519999999998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1.512302</v>
      </c>
      <c r="D27" s="22">
        <f>SUM(C34*0.07)+C34</f>
        <v>1.4710573999999998</v>
      </c>
      <c r="E27" s="22">
        <f>SUM(C34*0.07)+C34</f>
        <v>1.4710573999999998</v>
      </c>
      <c r="F27" s="16"/>
      <c r="G27" s="18">
        <v>3.17</v>
      </c>
      <c r="H27" s="22">
        <f>SUM(H34*0.11)+H34</f>
        <v>1.2907079999999997</v>
      </c>
      <c r="I27" s="22">
        <f>SUM(H34*0.08)+H34</f>
        <v>1.2558239999999998</v>
      </c>
      <c r="J27" s="22">
        <f>SUM(H34*0.08)+H34</f>
        <v>1.2558239999999998</v>
      </c>
      <c r="K27" s="9"/>
    </row>
    <row r="28" spans="1:11" s="1" customFormat="1" ht="15.75" x14ac:dyDescent="0.25">
      <c r="B28" s="17">
        <v>0.65</v>
      </c>
      <c r="C28" s="22">
        <f>SUM(C34*0.12)+C34</f>
        <v>1.5397984</v>
      </c>
      <c r="D28" s="22">
        <f>SUM(C34*0.09)+C34</f>
        <v>1.4985537999999998</v>
      </c>
      <c r="E28" s="23" t="s">
        <v>2</v>
      </c>
      <c r="F28" s="16"/>
      <c r="G28" s="18" t="s">
        <v>4</v>
      </c>
      <c r="H28" s="22">
        <f>SUM(H34*0.1)+H34</f>
        <v>1.2790799999999998</v>
      </c>
      <c r="I28" s="22">
        <f>SUM(H34*0.07+H34)</f>
        <v>1.2441959999999999</v>
      </c>
      <c r="J28" s="22">
        <f>SUM(H34*0.07)+H34</f>
        <v>1.2441959999999999</v>
      </c>
      <c r="K28" s="9"/>
    </row>
    <row r="29" spans="1:11" s="1" customFormat="1" ht="15.75" x14ac:dyDescent="0.25">
      <c r="B29" s="17">
        <v>24</v>
      </c>
      <c r="C29" s="22">
        <f>SUM(C34*0.16)+C34</f>
        <v>1.5947912</v>
      </c>
      <c r="D29" s="22">
        <f>SUM(C34*0.13)+C34</f>
        <v>1.5535466</v>
      </c>
      <c r="E29" s="23" t="s">
        <v>2</v>
      </c>
      <c r="F29" s="16"/>
      <c r="G29" s="18">
        <v>6.35</v>
      </c>
      <c r="H29" s="22">
        <f>SUM(H34*0.11)+H34</f>
        <v>1.2907079999999997</v>
      </c>
      <c r="I29" s="22">
        <f>SUM(H34*0.08)+H34</f>
        <v>1.2558239999999998</v>
      </c>
      <c r="J29" s="22">
        <f>SUM(H34*0.08)+H34</f>
        <v>1.2558239999999998</v>
      </c>
      <c r="K29" s="9"/>
    </row>
    <row r="30" spans="1:11" s="1" customFormat="1" ht="15.75" x14ac:dyDescent="0.25">
      <c r="B30" s="17">
        <v>26</v>
      </c>
      <c r="C30" s="22">
        <f>SUM(C34*0.2)+C34</f>
        <v>1.6497839999999999</v>
      </c>
      <c r="D30" s="22">
        <f>SUM(C34*0.15)+C34</f>
        <v>1.581043</v>
      </c>
      <c r="E30" s="23" t="s">
        <v>2</v>
      </c>
      <c r="F30" s="16"/>
      <c r="G30" s="18">
        <v>8</v>
      </c>
      <c r="H30" s="22">
        <f>SUM(H34*0.11)+H34</f>
        <v>1.2907079999999997</v>
      </c>
      <c r="I30" s="22">
        <f>SUM(H34*0.08)+H34</f>
        <v>1.2558239999999998</v>
      </c>
      <c r="J30" s="22">
        <f>SUM(H34*0.08)+H34</f>
        <v>1.2558239999999998</v>
      </c>
      <c r="K30" s="9"/>
    </row>
    <row r="31" spans="1:11" s="1" customFormat="1" ht="15.75" x14ac:dyDescent="0.25">
      <c r="B31" s="17">
        <v>27</v>
      </c>
      <c r="C31" s="22">
        <f>SUM(C34*0.26)+C34</f>
        <v>1.7322731999999998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1.3023359999999997</v>
      </c>
      <c r="I31" s="22">
        <f>SUM(H34*0.09)+H34</f>
        <v>1.2674519999999998</v>
      </c>
      <c r="J31" s="22">
        <f>SUM(H34*0.1)+H34</f>
        <v>1.2790799999999998</v>
      </c>
      <c r="K31" s="9"/>
    </row>
    <row r="32" spans="1:11" s="1" customFormat="1" ht="15.75" x14ac:dyDescent="0.25">
      <c r="B32" s="17">
        <v>30</v>
      </c>
      <c r="C32" s="22">
        <f>SUM(C34*0.32)+C34</f>
        <v>1.8147624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1.3023359999999997</v>
      </c>
      <c r="I32" s="22">
        <f>SUM(H34*0.09)+H34</f>
        <v>1.2674519999999998</v>
      </c>
      <c r="J32" s="22">
        <f>SUM(H34*0.1)+H34</f>
        <v>1.2790799999999998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SUM(INICIO!J78)</f>
        <v>1.3748199999999999</v>
      </c>
      <c r="D34" s="10"/>
      <c r="E34" s="10"/>
      <c r="F34" s="10"/>
      <c r="G34" s="26" t="s">
        <v>5</v>
      </c>
      <c r="H34" s="27">
        <f>SUM(INICIO!P78)</f>
        <v>1.1627999999999998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1.3814063999999999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1.3686155999999998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1.3814063999999999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2" spans="2:11" ht="15.75" x14ac:dyDescent="0.25">
      <c r="B42" s="14" t="s">
        <v>69</v>
      </c>
      <c r="C42" s="15">
        <v>1000</v>
      </c>
      <c r="D42" s="15">
        <v>1220</v>
      </c>
    </row>
    <row r="43" spans="2:11" ht="15.75" x14ac:dyDescent="0.25">
      <c r="B43" s="17" t="s">
        <v>70</v>
      </c>
      <c r="C43" s="40" t="s">
        <v>52</v>
      </c>
      <c r="D43" s="68">
        <v>1.7</v>
      </c>
    </row>
    <row r="44" spans="2:11" ht="15.75" x14ac:dyDescent="0.25">
      <c r="B44" s="17">
        <v>18</v>
      </c>
      <c r="C44" s="40" t="s">
        <v>52</v>
      </c>
      <c r="D44" s="68">
        <v>1.7130000000000001</v>
      </c>
    </row>
    <row r="45" spans="2:11" ht="15.75" x14ac:dyDescent="0.25">
      <c r="B45" s="17">
        <v>20</v>
      </c>
      <c r="C45" s="40" t="s">
        <v>52</v>
      </c>
      <c r="D45" s="68">
        <v>1.7270000000000001</v>
      </c>
    </row>
    <row r="46" spans="2:11" ht="15.75" x14ac:dyDescent="0.25">
      <c r="B46" s="17">
        <v>22</v>
      </c>
      <c r="C46" s="40" t="s">
        <v>68</v>
      </c>
      <c r="D46" s="68">
        <v>1.7470000000000001</v>
      </c>
    </row>
    <row r="47" spans="2:11" ht="15.75" x14ac:dyDescent="0.25">
      <c r="B47" s="17">
        <v>24</v>
      </c>
      <c r="C47" s="40" t="s">
        <v>52</v>
      </c>
      <c r="D47" s="69" t="s">
        <v>52</v>
      </c>
    </row>
    <row r="48" spans="2:11" ht="15.75" x14ac:dyDescent="0.25">
      <c r="B48" s="17">
        <v>25</v>
      </c>
      <c r="C48" s="40" t="s">
        <v>52</v>
      </c>
      <c r="D48" s="68">
        <v>1.768</v>
      </c>
    </row>
    <row r="49" spans="2:4" ht="15.75" x14ac:dyDescent="0.25">
      <c r="B49" s="17">
        <v>26</v>
      </c>
      <c r="C49" s="40" t="s">
        <v>52</v>
      </c>
      <c r="D49" s="69" t="s">
        <v>52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PROPER(INICIO!D79)</f>
        <v>Indumetales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45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45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45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45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44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45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44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45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44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45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44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45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SUM(H16*0.09)+H16</f>
        <v>1973.099688</v>
      </c>
      <c r="K13" s="44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45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SUM(H16*0.09)+H16</f>
        <v>1973.099688</v>
      </c>
      <c r="K14" s="44"/>
    </row>
    <row r="15" spans="1:11" ht="16.5" thickBot="1" x14ac:dyDescent="0.3">
      <c r="A15" s="1"/>
      <c r="B15" s="10"/>
      <c r="C15" s="43"/>
      <c r="D15" s="43"/>
      <c r="E15" s="43"/>
      <c r="F15" s="43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SUM(INICIO!K79)</f>
        <v>2137.1965999999998</v>
      </c>
      <c r="D16" s="43"/>
      <c r="E16" s="43"/>
      <c r="F16" s="43"/>
      <c r="G16" s="26" t="s">
        <v>5</v>
      </c>
      <c r="H16" s="42">
        <f>SUM(INICIO!Q79)</f>
        <v>1810.1831999999999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SUM(H34*0.09)+H34</f>
        <v>1.317156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SUM(H34*0.09)+H34</f>
        <v>1.317156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SUM(INICIO!J79)</f>
        <v>1.4266999999999999</v>
      </c>
      <c r="D34" s="10"/>
      <c r="E34" s="10"/>
      <c r="F34" s="10"/>
      <c r="G34" s="26" t="s">
        <v>5</v>
      </c>
      <c r="H34" s="27">
        <f>SUM(INICIO!P79)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40"/>
  <sheetViews>
    <sheetView showGridLines="0" topLeftCell="A16" workbookViewId="0">
      <selection activeCell="M19" sqref="M19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PROPER(INICIO!D80)</f>
        <v>Duilio Quevedo/Luraschi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44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44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44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44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44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SUM(INICIO!K80)</f>
        <v>2176.0547200000001</v>
      </c>
      <c r="D16" s="43"/>
      <c r="E16" s="43"/>
      <c r="F16" s="10"/>
      <c r="G16" s="26" t="s">
        <v>5</v>
      </c>
      <c r="H16" s="42">
        <f>SUM(INICIO!Q80)</f>
        <v>1844.3375999999998</v>
      </c>
      <c r="I16" s="43"/>
      <c r="J16" s="43" t="s">
        <v>233</v>
      </c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SUM(INICIO!J80)</f>
        <v>1.4526399999999999</v>
      </c>
      <c r="D34" s="10"/>
      <c r="E34" s="10"/>
      <c r="F34" s="10"/>
      <c r="G34" s="26" t="s">
        <v>5</v>
      </c>
      <c r="H34" s="27">
        <f>SUM(INICIO!P80)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47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PROPER(INICIO!D81)</f>
        <v>Vissio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44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44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44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44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44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SUM(INICIO!K81)</f>
        <v>2098.3384799999999</v>
      </c>
      <c r="D16" s="43"/>
      <c r="E16" s="43"/>
      <c r="F16" s="10"/>
      <c r="G16" s="26" t="s">
        <v>5</v>
      </c>
      <c r="H16" s="42">
        <f>SUM(INICIO!Q81)</f>
        <v>1793.1059999999998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 t="s">
        <v>248</v>
      </c>
      <c r="K17" s="44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SUM(INICIO!J81)</f>
        <v>1.40076</v>
      </c>
      <c r="D34" s="10"/>
      <c r="E34" s="10"/>
      <c r="F34" s="10"/>
      <c r="G34" s="26" t="s">
        <v>5</v>
      </c>
      <c r="H34" s="27">
        <f>SUM(INICIO!P81)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  <row r="42" spans="2:11" ht="15.75" x14ac:dyDescent="0.25">
      <c r="B42" s="14" t="s">
        <v>69</v>
      </c>
      <c r="C42" s="15">
        <v>1220</v>
      </c>
    </row>
    <row r="43" spans="2:11" ht="15.75" x14ac:dyDescent="0.25">
      <c r="B43" s="17" t="s">
        <v>76</v>
      </c>
      <c r="C43" s="22">
        <v>1.4219999999999999</v>
      </c>
    </row>
    <row r="44" spans="2:11" ht="15.75" x14ac:dyDescent="0.25">
      <c r="B44" s="17">
        <v>18</v>
      </c>
      <c r="C44" s="22">
        <v>1.4379999999999999</v>
      </c>
    </row>
    <row r="45" spans="2:11" ht="15.75" x14ac:dyDescent="0.25">
      <c r="B45" s="17">
        <v>20</v>
      </c>
      <c r="C45" s="22">
        <v>1.4670000000000001</v>
      </c>
    </row>
    <row r="46" spans="2:11" ht="15.75" x14ac:dyDescent="0.25">
      <c r="B46" s="17">
        <v>22</v>
      </c>
      <c r="C46" s="22">
        <v>1.482</v>
      </c>
    </row>
    <row r="47" spans="2:11" ht="15.75" x14ac:dyDescent="0.25">
      <c r="B47" s="17">
        <v>0.5</v>
      </c>
      <c r="C47" s="22">
        <v>1.49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PROPER(INICIO!D82)</f>
        <v>Acerbril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2557.0585865999997</v>
      </c>
      <c r="D6" s="40">
        <f>SUM(C16*0.04)+C16</f>
        <v>2485.3653551999996</v>
      </c>
      <c r="E6" s="40">
        <f>SUM(C16*0.04)+C16</f>
        <v>2485.3653551999996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2557.0585865999997</v>
      </c>
      <c r="D7" s="40">
        <f>SUM(C16*0.04)+C16</f>
        <v>2485.3653551999996</v>
      </c>
      <c r="E7" s="40">
        <f>SUM(C16*0.04)+C16</f>
        <v>2485.3653551999996</v>
      </c>
      <c r="F7" s="16"/>
      <c r="G7" s="18">
        <v>2</v>
      </c>
      <c r="H7" s="40">
        <f>SUM(H16*0.14)+H16</f>
        <v>2316.6929519999999</v>
      </c>
      <c r="I7" s="40">
        <f>SUM(H16*0.11)+H16</f>
        <v>2255.7273479999999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2580.9563303999998</v>
      </c>
      <c r="D8" s="40">
        <f>SUM(C16*0.05)+C16</f>
        <v>2509.2630989999998</v>
      </c>
      <c r="E8" s="40">
        <f>SUM(C16*0.05)+C16</f>
        <v>2509.2630989999998</v>
      </c>
      <c r="F8" s="16"/>
      <c r="G8" s="18">
        <v>2.5</v>
      </c>
      <c r="H8" s="40">
        <f>SUM(H16*0.12)+H16</f>
        <v>2276.0492159999999</v>
      </c>
      <c r="I8" s="40">
        <f>SUM(H16*0.09)+H16</f>
        <v>2215.0836119999994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2628.7518179999997</v>
      </c>
      <c r="D9" s="40">
        <f>SUM(C16*0.07)+C16</f>
        <v>2557.0585865999997</v>
      </c>
      <c r="E9" s="40">
        <f>SUM(C16*0.07)+C16</f>
        <v>2557.0585865999997</v>
      </c>
      <c r="F9" s="16"/>
      <c r="G9" s="18">
        <v>3.17</v>
      </c>
      <c r="H9" s="40">
        <f>SUM(H16*0.11)+H16</f>
        <v>2255.7273479999999</v>
      </c>
      <c r="I9" s="40">
        <f>SUM(H16*0.08)+H16</f>
        <v>2194.7617439999999</v>
      </c>
      <c r="J9" s="40">
        <f>SUM(H16*0.08)+H16</f>
        <v>2194.7617439999999</v>
      </c>
      <c r="K9" s="9"/>
    </row>
    <row r="10" spans="1:11" ht="15.75" x14ac:dyDescent="0.25">
      <c r="A10" s="1"/>
      <c r="B10" s="17">
        <v>0.65</v>
      </c>
      <c r="C10" s="40">
        <f>SUM(C16*0.12)+C16</f>
        <v>2676.5473055999996</v>
      </c>
      <c r="D10" s="40">
        <f>SUM(C16*0.09)+C16</f>
        <v>2604.8540742</v>
      </c>
      <c r="E10" s="40" t="s">
        <v>2</v>
      </c>
      <c r="F10" s="16"/>
      <c r="G10" s="18" t="s">
        <v>4</v>
      </c>
      <c r="H10" s="40">
        <f>SUM(H16*0.1)+H16</f>
        <v>2235.4054799999999</v>
      </c>
      <c r="I10" s="40">
        <f>SUM(H16*0.07+H16)</f>
        <v>2174.4398759999999</v>
      </c>
      <c r="J10" s="40">
        <f>SUM(H16*0.07)+H16</f>
        <v>2174.4398759999999</v>
      </c>
      <c r="K10" s="9"/>
    </row>
    <row r="11" spans="1:11" ht="15.75" x14ac:dyDescent="0.25">
      <c r="A11" s="1"/>
      <c r="B11" s="17">
        <v>24</v>
      </c>
      <c r="C11" s="40">
        <f>SUM(C16*0.16)+C16</f>
        <v>2772.1382807999998</v>
      </c>
      <c r="D11" s="40">
        <f>SUM(C16*0.13)+C16</f>
        <v>2700.4450493999998</v>
      </c>
      <c r="E11" s="40" t="s">
        <v>2</v>
      </c>
      <c r="F11" s="16"/>
      <c r="G11" s="18">
        <v>6.35</v>
      </c>
      <c r="H11" s="40">
        <f>SUM(H16*0.11)+H16</f>
        <v>2255.7273479999999</v>
      </c>
      <c r="I11" s="40">
        <f>SUM(H16*0.08)+H16</f>
        <v>2194.7617439999999</v>
      </c>
      <c r="J11" s="40">
        <f>SUM(H16*0.08)+H16</f>
        <v>2194.7617439999999</v>
      </c>
      <c r="K11" s="9"/>
    </row>
    <row r="12" spans="1:11" ht="15.75" x14ac:dyDescent="0.25">
      <c r="A12" s="1"/>
      <c r="B12" s="17">
        <v>26</v>
      </c>
      <c r="C12" s="40">
        <f>SUM(C16*0.2)+C16</f>
        <v>2867.7292559999996</v>
      </c>
      <c r="D12" s="40">
        <f>SUM(C16*0.15)+C16</f>
        <v>2748.2405369999997</v>
      </c>
      <c r="E12" s="40" t="s">
        <v>2</v>
      </c>
      <c r="F12" s="16"/>
      <c r="G12" s="18">
        <v>8</v>
      </c>
      <c r="H12" s="40">
        <f>SUM(H16*0.11)+H16</f>
        <v>2255.7273479999999</v>
      </c>
      <c r="I12" s="40">
        <f>SUM(H16*0.08)+H16</f>
        <v>2194.7617439999999</v>
      </c>
      <c r="J12" s="40">
        <f>SUM(H16*0.08)+H16</f>
        <v>2194.7617439999999</v>
      </c>
      <c r="K12" s="9"/>
    </row>
    <row r="13" spans="1:11" ht="15.75" x14ac:dyDescent="0.25">
      <c r="A13" s="1"/>
      <c r="B13" s="17">
        <v>27</v>
      </c>
      <c r="C13" s="40">
        <f>SUM(C16*0.26)+C16</f>
        <v>3011.1157187999997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2276.0492159999999</v>
      </c>
      <c r="I13" s="40">
        <f>SUM(H16*0.09)+H16</f>
        <v>2215.0836119999994</v>
      </c>
      <c r="J13" s="40">
        <f>SUM(H16*0.1)+H16</f>
        <v>2235.4054799999999</v>
      </c>
      <c r="K13" s="9"/>
    </row>
    <row r="14" spans="1:11" ht="15.75" x14ac:dyDescent="0.25">
      <c r="A14" s="1"/>
      <c r="B14" s="17">
        <v>30</v>
      </c>
      <c r="C14" s="40">
        <f>SUM(C16*0.32)+C16</f>
        <v>3154.5021815999999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2276.0492159999999</v>
      </c>
      <c r="I14" s="40">
        <f>SUM(H16*0.09)+H16</f>
        <v>2215.0836119999994</v>
      </c>
      <c r="J14" s="40">
        <f>SUM(H16*0.1)+H16</f>
        <v>2235.4054799999999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SUM(INICIO!K82)</f>
        <v>2389.7743799999998</v>
      </c>
      <c r="D16" s="43"/>
      <c r="E16" s="43"/>
      <c r="F16" s="10"/>
      <c r="G16" s="26" t="s">
        <v>5</v>
      </c>
      <c r="H16" s="42">
        <f>SUM(INICIO!Q82)</f>
        <v>2032.1867999999997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2414.2379184000001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2391.8838636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2414.2379184000001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1.7069817</v>
      </c>
      <c r="D24" s="22">
        <f>SUM(C34*0.04)+C34</f>
        <v>1.6591224</v>
      </c>
      <c r="E24" s="22">
        <f>SUM(C34*0.04)+C34</f>
        <v>1.6591224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1.7069817</v>
      </c>
      <c r="D25" s="22">
        <f>SUM(C34*0.04)+C34</f>
        <v>1.6591224</v>
      </c>
      <c r="E25" s="22">
        <f>SUM(C34*0.04)+C34</f>
        <v>1.6591224</v>
      </c>
      <c r="F25" s="16"/>
      <c r="G25" s="18">
        <v>2</v>
      </c>
      <c r="H25" s="22">
        <f>SUM(H34*0.14)+H34</f>
        <v>1.5465239999999998</v>
      </c>
      <c r="I25" s="22">
        <f>SUM(H34*0.11)+H34</f>
        <v>1.5058259999999999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1.7229348</v>
      </c>
      <c r="D26" s="22">
        <f>SUM(C34*0.05)+C34</f>
        <v>1.6750754999999999</v>
      </c>
      <c r="E26" s="22">
        <f>SUM(C34*0.05)+C34</f>
        <v>1.6750754999999999</v>
      </c>
      <c r="F26" s="16"/>
      <c r="G26" s="18">
        <v>2.5</v>
      </c>
      <c r="H26" s="22">
        <f>SUM(H34*0.12)+H34</f>
        <v>1.5193919999999999</v>
      </c>
      <c r="I26" s="22">
        <f>SUM(H34*0.09)+H34</f>
        <v>1.4786939999999997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1.7548410000000001</v>
      </c>
      <c r="D27" s="22">
        <f>SUM(C34*0.07)+C34</f>
        <v>1.7069817</v>
      </c>
      <c r="E27" s="22">
        <f>SUM(C34*0.07)+C34</f>
        <v>1.7069817</v>
      </c>
      <c r="F27" s="16"/>
      <c r="G27" s="18">
        <v>3.17</v>
      </c>
      <c r="H27" s="22">
        <f>SUM(H34*0.11)+H34</f>
        <v>1.5058259999999999</v>
      </c>
      <c r="I27" s="22">
        <f>SUM(H34*0.08)+H34</f>
        <v>1.4651279999999998</v>
      </c>
      <c r="J27" s="22">
        <f>SUM(H34*0.08)+H34</f>
        <v>1.4651279999999998</v>
      </c>
      <c r="K27" s="9"/>
    </row>
    <row r="28" spans="1:11" s="1" customFormat="1" ht="15.75" x14ac:dyDescent="0.25">
      <c r="B28" s="17">
        <v>0.65</v>
      </c>
      <c r="C28" s="22">
        <f>SUM(C34*0.12)+C34</f>
        <v>1.7867472</v>
      </c>
      <c r="D28" s="22">
        <f>SUM(C34*0.09)+C34</f>
        <v>1.7388878999999999</v>
      </c>
      <c r="E28" s="23" t="s">
        <v>2</v>
      </c>
      <c r="F28" s="16"/>
      <c r="G28" s="18" t="s">
        <v>4</v>
      </c>
      <c r="H28" s="22">
        <f>SUM(H34*0.1)+H34</f>
        <v>1.4922599999999997</v>
      </c>
      <c r="I28" s="22">
        <f>SUM(H34*0.07+H34)</f>
        <v>1.4515619999999998</v>
      </c>
      <c r="J28" s="22">
        <f>SUM(H34*0.07)+H34</f>
        <v>1.4515619999999998</v>
      </c>
      <c r="K28" s="9"/>
    </row>
    <row r="29" spans="1:11" s="1" customFormat="1" ht="15.75" x14ac:dyDescent="0.25">
      <c r="B29" s="17">
        <v>24</v>
      </c>
      <c r="C29" s="22">
        <f>SUM(C34*0.16)+C34</f>
        <v>1.8505596</v>
      </c>
      <c r="D29" s="22">
        <f>SUM(C34*0.13)+C34</f>
        <v>1.8027002999999999</v>
      </c>
      <c r="E29" s="23" t="s">
        <v>2</v>
      </c>
      <c r="F29" s="16"/>
      <c r="G29" s="18">
        <v>6.35</v>
      </c>
      <c r="H29" s="22">
        <f>SUM(H34*0.11)+H34</f>
        <v>1.5058259999999999</v>
      </c>
      <c r="I29" s="22">
        <f>SUM(H34*0.08)+H34</f>
        <v>1.4651279999999998</v>
      </c>
      <c r="J29" s="22">
        <f>SUM(H34*0.08)+H34</f>
        <v>1.4651279999999998</v>
      </c>
      <c r="K29" s="9"/>
    </row>
    <row r="30" spans="1:11" s="1" customFormat="1" ht="15.75" x14ac:dyDescent="0.25">
      <c r="B30" s="17">
        <v>26</v>
      </c>
      <c r="C30" s="22">
        <f>SUM(C34*0.2)+C34</f>
        <v>1.914372</v>
      </c>
      <c r="D30" s="22">
        <f>SUM(C34*0.15)+C34</f>
        <v>1.8346065</v>
      </c>
      <c r="E30" s="23" t="s">
        <v>2</v>
      </c>
      <c r="F30" s="16"/>
      <c r="G30" s="18">
        <v>8</v>
      </c>
      <c r="H30" s="22">
        <f>SUM(H34*0.11)+H34</f>
        <v>1.5058259999999999</v>
      </c>
      <c r="I30" s="22">
        <f>SUM(H34*0.08)+H34</f>
        <v>1.4651279999999998</v>
      </c>
      <c r="J30" s="22">
        <f>SUM(H34*0.08)+H34</f>
        <v>1.4651279999999998</v>
      </c>
      <c r="K30" s="9"/>
    </row>
    <row r="31" spans="1:11" s="1" customFormat="1" ht="15.75" x14ac:dyDescent="0.25">
      <c r="B31" s="17">
        <v>27</v>
      </c>
      <c r="C31" s="22">
        <f>SUM(C34*0.26)+C34</f>
        <v>2.0100905999999998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1.5193919999999999</v>
      </c>
      <c r="I31" s="22">
        <f>SUM(H34*0.09)+H34</f>
        <v>1.4786939999999997</v>
      </c>
      <c r="J31" s="22">
        <f>SUM(H34*0.1)+H34</f>
        <v>1.4922599999999997</v>
      </c>
      <c r="K31" s="9"/>
    </row>
    <row r="32" spans="1:11" s="1" customFormat="1" ht="15.75" x14ac:dyDescent="0.25">
      <c r="B32" s="17">
        <v>30</v>
      </c>
      <c r="C32" s="22">
        <f>SUM(C34*0.32)+C34</f>
        <v>2.1058091999999999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1.5193919999999999</v>
      </c>
      <c r="I32" s="22">
        <f>SUM(H34*0.09)+H34</f>
        <v>1.4786939999999997</v>
      </c>
      <c r="J32" s="22">
        <f>SUM(H34*0.1)+H34</f>
        <v>1.4922599999999997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SUM(INICIO!J82)</f>
        <v>1.59531</v>
      </c>
      <c r="D34" s="10"/>
      <c r="E34" s="10"/>
      <c r="F34" s="10"/>
      <c r="G34" s="26" t="s">
        <v>5</v>
      </c>
      <c r="H34" s="27">
        <f>SUM(INICIO!P82)</f>
        <v>1.3565999999999998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1.6116407999999998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1.5967181999999998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1.6116407999999998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40"/>
  <sheetViews>
    <sheetView showGridLines="0" workbookViewId="0">
      <selection activeCell="J18" sqref="J18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PROPER(INICIO!D83)</f>
        <v>Ulises/Renar/Proyect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SUM(INICIO!K83)</f>
        <v>2137.1965999999998</v>
      </c>
      <c r="D16" s="43"/>
      <c r="E16" s="43"/>
      <c r="F16" s="10"/>
      <c r="G16" s="26" t="s">
        <v>5</v>
      </c>
      <c r="H16" s="42">
        <f>SUM(INICIO!Q83)</f>
        <v>1810.1831999999999</v>
      </c>
      <c r="I16" s="43"/>
      <c r="J16" s="43" t="s">
        <v>234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245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SUM(INICIO!J83)</f>
        <v>1.4266999999999999</v>
      </c>
      <c r="D34" s="10"/>
      <c r="E34" s="10"/>
      <c r="F34" s="10"/>
      <c r="G34" s="26" t="s">
        <v>5</v>
      </c>
      <c r="H34" s="27">
        <f>SUM(INICIO!P83)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PROPER(INICIO!D84)</f>
        <v>Calpsa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SUM(INICIO!K84)</f>
        <v>2098.3384799999999</v>
      </c>
      <c r="D16" s="43"/>
      <c r="E16" s="43"/>
      <c r="F16" s="10"/>
      <c r="G16" s="26" t="s">
        <v>5</v>
      </c>
      <c r="H16" s="42">
        <f>SUM(INICIO!Q84)</f>
        <v>1810.1831999999999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263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SUM(INICIO!J84)</f>
        <v>1.40076</v>
      </c>
      <c r="D34" s="10"/>
      <c r="E34" s="10"/>
      <c r="F34" s="10"/>
      <c r="G34" s="26" t="s">
        <v>5</v>
      </c>
      <c r="H34" s="27">
        <f>SUM(INICIO!P84)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40"/>
  <sheetViews>
    <sheetView showGridLines="0" workbookViewId="0">
      <selection activeCell="O20" sqref="O20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PROPER(INICIO!D85)</f>
        <v>Doltz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SUM(H16*0.09)+H16</f>
        <v>2028.9421319999997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SUM(H16*0.09)+H16</f>
        <v>2028.9421319999997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SUM(INICIO!K85)</f>
        <v>2176.0547200000001</v>
      </c>
      <c r="D16" s="43"/>
      <c r="E16" s="43"/>
      <c r="F16" s="10"/>
      <c r="G16" s="26" t="s">
        <v>5</v>
      </c>
      <c r="H16" s="42">
        <f>SUM(INICIO!Q85)</f>
        <v>1861.4147999999998</v>
      </c>
      <c r="I16" s="43"/>
      <c r="J16" s="43"/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 t="s">
        <v>339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SUM(H34*0.09)+H34</f>
        <v>1.3544339999999999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SUM(H34*0.09)+H34</f>
        <v>1.3544339999999999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SUM(INICIO!J85)</f>
        <v>1.4526399999999999</v>
      </c>
      <c r="D34" s="10"/>
      <c r="E34" s="10"/>
      <c r="F34" s="10"/>
      <c r="G34" s="26" t="s">
        <v>5</v>
      </c>
      <c r="H34" s="27">
        <f>SUM(INICIO!P85)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PROPER(INICIO!D86)</f>
        <v>Microfilter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SUM(INICIO!K86)</f>
        <v>2098.3384799999999</v>
      </c>
      <c r="D16" s="43"/>
      <c r="E16" s="43"/>
      <c r="F16" s="10"/>
      <c r="G16" s="26" t="s">
        <v>5</v>
      </c>
      <c r="H16" s="42">
        <f>SUM(INICIO!Q86)</f>
        <v>1793.1059999999998</v>
      </c>
      <c r="I16" s="43"/>
      <c r="J16" s="43" t="s">
        <v>272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SUM(INICIO!J86)</f>
        <v>1.40076</v>
      </c>
      <c r="D34" s="10"/>
      <c r="E34" s="10"/>
      <c r="F34" s="10"/>
      <c r="G34" s="26" t="s">
        <v>5</v>
      </c>
      <c r="H34" s="27">
        <f>SUM(INICIO!P86)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40"/>
  <sheetViews>
    <sheetView showGridLines="0" workbookViewId="0">
      <selection activeCell="K11" sqref="K11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PROPER(INICIO!D87)</f>
        <v>Accetub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SUM(INICIO!K87)</f>
        <v>2137.1965999999998</v>
      </c>
      <c r="D16" s="43"/>
      <c r="E16" s="43"/>
      <c r="F16" s="10"/>
      <c r="G16" s="26" t="s">
        <v>5</v>
      </c>
      <c r="H16" s="42">
        <f>SUM(INICIO!Q87)</f>
        <v>1810.1831999999999</v>
      </c>
      <c r="I16" s="62" t="s">
        <v>52</v>
      </c>
      <c r="J16" s="43" t="s">
        <v>244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SUM(INICIO!J87)</f>
        <v>1.4266999999999999</v>
      </c>
      <c r="D34" s="10"/>
      <c r="E34" s="10"/>
      <c r="F34" s="10"/>
      <c r="G34" s="26" t="s">
        <v>5</v>
      </c>
      <c r="H34" s="27">
        <f>SUM(INICIO!P87)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PROPER(INICIO!D88)</f>
        <v>Metalcon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2577.8476807999996</v>
      </c>
      <c r="D6" s="40">
        <f>SUM(C16*0.04)+C16</f>
        <v>2505.5715775999997</v>
      </c>
      <c r="E6" s="40">
        <f>SUM(C16*0.04)+C16</f>
        <v>2505.5715775999997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2577.8476807999996</v>
      </c>
      <c r="D7" s="40">
        <f>SUM(C16*0.04)+C16</f>
        <v>2505.5715775999997</v>
      </c>
      <c r="E7" s="40">
        <f>SUM(C16*0.04)+C16</f>
        <v>2505.5715775999997</v>
      </c>
      <c r="F7" s="16"/>
      <c r="G7" s="18">
        <v>2</v>
      </c>
      <c r="H7" s="40">
        <f>SUM(H16*0.14)+H16</f>
        <v>2336.1609599999997</v>
      </c>
      <c r="I7" s="40">
        <f>SUM(H16*0.11)+H16</f>
        <v>2274.6830399999994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2601.9397151999997</v>
      </c>
      <c r="D8" s="40">
        <f>SUM(C16*0.05)+C16</f>
        <v>2529.6636119999998</v>
      </c>
      <c r="E8" s="40">
        <f>SUM(C16*0.05)+C16</f>
        <v>2529.6636119999998</v>
      </c>
      <c r="F8" s="16"/>
      <c r="G8" s="18">
        <v>2.5</v>
      </c>
      <c r="H8" s="40">
        <f>SUM(H16*0.12)+H16</f>
        <v>2295.1756799999998</v>
      </c>
      <c r="I8" s="40">
        <f>SUM(H16*0.09)+H16</f>
        <v>2233.6977599999996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2650.1237839999999</v>
      </c>
      <c r="D9" s="40">
        <f>SUM(C16*0.07)+C16</f>
        <v>2577.8476807999996</v>
      </c>
      <c r="E9" s="40">
        <f>SUM(C16*0.07)+C16</f>
        <v>2577.8476807999996</v>
      </c>
      <c r="F9" s="16"/>
      <c r="G9" s="18">
        <v>3.17</v>
      </c>
      <c r="H9" s="40">
        <f>SUM(H16*0.11)+H16</f>
        <v>2274.6830399999994</v>
      </c>
      <c r="I9" s="40">
        <f>SUM(H16*0.08)+H16</f>
        <v>2213.2051199999996</v>
      </c>
      <c r="J9" s="40">
        <f>SUM(H16*0.08)+H16</f>
        <v>2213.2051199999996</v>
      </c>
      <c r="K9" s="9"/>
    </row>
    <row r="10" spans="1:11" ht="15.75" x14ac:dyDescent="0.25">
      <c r="A10" s="1"/>
      <c r="B10" s="17">
        <v>0.65</v>
      </c>
      <c r="C10" s="40">
        <f>SUM(C16*0.12)+C16</f>
        <v>2698.3078527999996</v>
      </c>
      <c r="D10" s="40">
        <f>SUM(C16*0.09)+C16</f>
        <v>2626.0317495999998</v>
      </c>
      <c r="E10" s="40" t="s">
        <v>2</v>
      </c>
      <c r="F10" s="16"/>
      <c r="G10" s="18" t="s">
        <v>4</v>
      </c>
      <c r="H10" s="40">
        <f>SUM(H16*0.1)+H16</f>
        <v>2254.1903999999995</v>
      </c>
      <c r="I10" s="40">
        <f>SUM(H16*0.07+H16)</f>
        <v>2192.7124799999997</v>
      </c>
      <c r="J10" s="40">
        <f>SUM(H16*0.07)+H16</f>
        <v>2192.7124799999997</v>
      </c>
      <c r="K10" s="9"/>
    </row>
    <row r="11" spans="1:11" ht="15.75" x14ac:dyDescent="0.25">
      <c r="A11" s="1"/>
      <c r="B11" s="17">
        <v>24</v>
      </c>
      <c r="C11" s="40">
        <f>SUM(C16*0.16)+C16</f>
        <v>2794.6759903999996</v>
      </c>
      <c r="D11" s="40">
        <f>SUM(C16*0.13)+C16</f>
        <v>2722.3998871999997</v>
      </c>
      <c r="E11" s="40" t="s">
        <v>2</v>
      </c>
      <c r="F11" s="16"/>
      <c r="G11" s="18">
        <v>6.35</v>
      </c>
      <c r="H11" s="40">
        <f>SUM(H16*0.11)+H16</f>
        <v>2274.6830399999994</v>
      </c>
      <c r="I11" s="40">
        <f>SUM(H16*0.08)+H16</f>
        <v>2213.2051199999996</v>
      </c>
      <c r="J11" s="40">
        <f>SUM(H16*0.08)+H16</f>
        <v>2213.2051199999996</v>
      </c>
      <c r="K11" s="9"/>
    </row>
    <row r="12" spans="1:11" ht="15.75" x14ac:dyDescent="0.25">
      <c r="A12" s="1"/>
      <c r="B12" s="17">
        <v>26</v>
      </c>
      <c r="C12" s="40">
        <f>SUM(C16*0.2)+C16</f>
        <v>2891.0441279999995</v>
      </c>
      <c r="D12" s="40">
        <f>SUM(C16*0.15)+C16</f>
        <v>2770.5839559999995</v>
      </c>
      <c r="E12" s="40" t="s">
        <v>2</v>
      </c>
      <c r="F12" s="16"/>
      <c r="G12" s="18">
        <v>8</v>
      </c>
      <c r="H12" s="40">
        <f>SUM(H16*0.11)+H16</f>
        <v>2274.6830399999994</v>
      </c>
      <c r="I12" s="40">
        <f>SUM(H16*0.08)+H16</f>
        <v>2213.2051199999996</v>
      </c>
      <c r="J12" s="40">
        <f>SUM(H16*0.08)+H16</f>
        <v>2213.2051199999996</v>
      </c>
      <c r="K12" s="9"/>
    </row>
    <row r="13" spans="1:11" ht="15.75" x14ac:dyDescent="0.25">
      <c r="A13" s="1"/>
      <c r="B13" s="17">
        <v>27</v>
      </c>
      <c r="C13" s="40">
        <f>SUM(C16*0.26)+C16</f>
        <v>3035.5963343999997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2295.1756799999998</v>
      </c>
      <c r="I13" s="40">
        <f>SUM(H16*0.09)+H16</f>
        <v>2233.6977599999996</v>
      </c>
      <c r="J13" s="40">
        <f>SUM(H16*0.1)+H16</f>
        <v>2254.1903999999995</v>
      </c>
      <c r="K13" s="9"/>
    </row>
    <row r="14" spans="1:11" ht="15.75" x14ac:dyDescent="0.25">
      <c r="A14" s="1"/>
      <c r="B14" s="17">
        <v>30</v>
      </c>
      <c r="C14" s="40">
        <f>SUM(C16*0.32)+C16</f>
        <v>3180.1485407999999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2295.1756799999998</v>
      </c>
      <c r="I14" s="40">
        <f>SUM(H16*0.09)+H16</f>
        <v>2233.6977599999996</v>
      </c>
      <c r="J14" s="40">
        <f>SUM(H16*0.1)+H16</f>
        <v>2254.1903999999995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SUM(INICIO!K88)</f>
        <v>2409.2034399999998</v>
      </c>
      <c r="D16" s="43"/>
      <c r="E16" s="43"/>
      <c r="F16" s="10"/>
      <c r="G16" s="26" t="s">
        <v>5</v>
      </c>
      <c r="H16" s="42">
        <f>SUM(INICIO!Q88)</f>
        <v>2049.2639999999997</v>
      </c>
      <c r="I16" s="43"/>
      <c r="J16" s="43"/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2434.5256319999994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2411.9837279999997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2434.5256319999994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1.7208595999999998</v>
      </c>
      <c r="D24" s="22">
        <f>SUM(C34*0.04)+C34</f>
        <v>1.6726112</v>
      </c>
      <c r="E24" s="22">
        <f>SUM(C34*0.04)+C34</f>
        <v>1.6726112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1.7208595999999998</v>
      </c>
      <c r="D25" s="22">
        <f>SUM(C34*0.04)+C34</f>
        <v>1.6726112</v>
      </c>
      <c r="E25" s="22">
        <f>SUM(C34*0.04)+C34</f>
        <v>1.6726112</v>
      </c>
      <c r="F25" s="16"/>
      <c r="G25" s="18">
        <v>2</v>
      </c>
      <c r="H25" s="22">
        <f>SUM(H34*0.14)+H34</f>
        <v>1.5595199999999998</v>
      </c>
      <c r="I25" s="22">
        <f>SUM(H34*0.11)+H34</f>
        <v>1.5184799999999998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1.7369424</v>
      </c>
      <c r="D26" s="22">
        <f>SUM(C34*0.05)+C34</f>
        <v>1.6886939999999999</v>
      </c>
      <c r="E26" s="22">
        <f>SUM(C34*0.05)+C34</f>
        <v>1.6886939999999999</v>
      </c>
      <c r="F26" s="16"/>
      <c r="G26" s="18">
        <v>2.5</v>
      </c>
      <c r="H26" s="22">
        <f>SUM(H34*0.12)+H34</f>
        <v>1.5321599999999997</v>
      </c>
      <c r="I26" s="22">
        <f>SUM(H34*0.09)+H34</f>
        <v>1.4911199999999998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1.7691079999999999</v>
      </c>
      <c r="D27" s="22">
        <f>SUM(C34*0.07)+C34</f>
        <v>1.7208595999999998</v>
      </c>
      <c r="E27" s="22">
        <f>SUM(C34*0.07)+C34</f>
        <v>1.7208595999999998</v>
      </c>
      <c r="F27" s="16"/>
      <c r="G27" s="18">
        <v>3.17</v>
      </c>
      <c r="H27" s="22">
        <f>SUM(H34*0.11)+H34</f>
        <v>1.5184799999999998</v>
      </c>
      <c r="I27" s="22">
        <f>SUM(H34*0.08)+H34</f>
        <v>1.4774399999999999</v>
      </c>
      <c r="J27" s="22">
        <f>SUM(H34*0.08)+H34</f>
        <v>1.4774399999999999</v>
      </c>
      <c r="K27" s="9"/>
    </row>
    <row r="28" spans="1:11" s="1" customFormat="1" ht="15.75" x14ac:dyDescent="0.25">
      <c r="B28" s="17">
        <v>0.65</v>
      </c>
      <c r="C28" s="22">
        <f>SUM(C34*0.12)+C34</f>
        <v>1.8012736</v>
      </c>
      <c r="D28" s="22">
        <f>SUM(C34*0.09)+C34</f>
        <v>1.7530252</v>
      </c>
      <c r="E28" s="23" t="s">
        <v>2</v>
      </c>
      <c r="F28" s="16"/>
      <c r="G28" s="18" t="s">
        <v>4</v>
      </c>
      <c r="H28" s="22">
        <f>SUM(H34*0.1)+H34</f>
        <v>1.5047999999999999</v>
      </c>
      <c r="I28" s="22">
        <f>SUM(H34*0.07+H34)</f>
        <v>1.46376</v>
      </c>
      <c r="J28" s="22">
        <f>SUM(H34*0.07)+H34</f>
        <v>1.46376</v>
      </c>
      <c r="K28" s="9"/>
    </row>
    <row r="29" spans="1:11" s="1" customFormat="1" ht="15.75" x14ac:dyDescent="0.25">
      <c r="B29" s="17">
        <v>24</v>
      </c>
      <c r="C29" s="22">
        <f>SUM(C34*0.16)+C34</f>
        <v>1.8656047999999998</v>
      </c>
      <c r="D29" s="22">
        <f>SUM(C34*0.13)+C34</f>
        <v>1.8173564</v>
      </c>
      <c r="E29" s="23" t="s">
        <v>2</v>
      </c>
      <c r="F29" s="16"/>
      <c r="G29" s="18">
        <v>6.35</v>
      </c>
      <c r="H29" s="22">
        <f>SUM(H34*0.11)+H34</f>
        <v>1.5184799999999998</v>
      </c>
      <c r="I29" s="22">
        <f>SUM(H34*0.08)+H34</f>
        <v>1.4774399999999999</v>
      </c>
      <c r="J29" s="22">
        <f>SUM(H34*0.08)+H34</f>
        <v>1.4774399999999999</v>
      </c>
      <c r="K29" s="9"/>
    </row>
    <row r="30" spans="1:11" s="1" customFormat="1" ht="15.75" x14ac:dyDescent="0.25">
      <c r="B30" s="17">
        <v>26</v>
      </c>
      <c r="C30" s="22">
        <f>SUM(C34*0.2)+C34</f>
        <v>1.9299359999999999</v>
      </c>
      <c r="D30" s="22">
        <f>SUM(C34*0.15)+C34</f>
        <v>1.8495219999999999</v>
      </c>
      <c r="E30" s="23" t="s">
        <v>2</v>
      </c>
      <c r="F30" s="16"/>
      <c r="G30" s="18">
        <v>8</v>
      </c>
      <c r="H30" s="22">
        <f>SUM(H34*0.11)+H34</f>
        <v>1.5184799999999998</v>
      </c>
      <c r="I30" s="22">
        <f>SUM(H34*0.08)+H34</f>
        <v>1.4774399999999999</v>
      </c>
      <c r="J30" s="22">
        <f>SUM(H34*0.08)+H34</f>
        <v>1.4774399999999999</v>
      </c>
      <c r="K30" s="9"/>
    </row>
    <row r="31" spans="1:11" s="1" customFormat="1" ht="15.75" x14ac:dyDescent="0.25">
      <c r="B31" s="17">
        <v>27</v>
      </c>
      <c r="C31" s="22">
        <f>SUM(C34*0.26)+C34</f>
        <v>2.0264327999999998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1.5321599999999997</v>
      </c>
      <c r="I31" s="22">
        <f>SUM(H34*0.09)+H34</f>
        <v>1.4911199999999998</v>
      </c>
      <c r="J31" s="22">
        <f>SUM(H34*0.1)+H34</f>
        <v>1.5047999999999999</v>
      </c>
      <c r="K31" s="9"/>
    </row>
    <row r="32" spans="1:11" s="1" customFormat="1" ht="15.75" x14ac:dyDescent="0.25">
      <c r="B32" s="17">
        <v>30</v>
      </c>
      <c r="C32" s="22">
        <f>SUM(C34*0.32)+C34</f>
        <v>2.1229296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1.5321599999999997</v>
      </c>
      <c r="I32" s="22">
        <f>SUM(H34*0.09)+H34</f>
        <v>1.4911199999999998</v>
      </c>
      <c r="J32" s="22">
        <f>SUM(H34*0.1)+H34</f>
        <v>1.5047999999999999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SUM(INICIO!J88)</f>
        <v>1.6082799999999999</v>
      </c>
      <c r="D34" s="10"/>
      <c r="E34" s="10"/>
      <c r="F34" s="10"/>
      <c r="G34" s="26" t="s">
        <v>5</v>
      </c>
      <c r="H34" s="27">
        <f>SUM(INICIO!P88)</f>
        <v>1.3679999999999999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1.625184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1.610136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1.625184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40"/>
  <sheetViews>
    <sheetView showGridLines="0" workbookViewId="0">
      <selection activeCell="O16" sqref="O16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PROPER(INICIO!D89)</f>
        <v>Mangueras Flex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SUM(H16*0.11)+H16</f>
        <v>2047.2147359999999</v>
      </c>
      <c r="I10" s="40">
        <f>SUM(H16*0.08+H16)</f>
        <v>1991.8846079999998</v>
      </c>
      <c r="J10" s="40">
        <f>SUM(H16*0.08)+H16</f>
        <v>1991.8846079999998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SUM(H16*0.09)+H16</f>
        <v>2010.3279839999998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SUM(H16*0.09)+H16</f>
        <v>2010.3279839999998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SUM(INICIO!K89)</f>
        <v>2176.0547200000001</v>
      </c>
      <c r="D16" s="43"/>
      <c r="E16" s="43"/>
      <c r="F16" s="10"/>
      <c r="G16" s="26" t="s">
        <v>5</v>
      </c>
      <c r="H16" s="42">
        <f>SUM(INICIO!Q89)</f>
        <v>1844.3375999999998</v>
      </c>
      <c r="I16" s="43"/>
      <c r="J16" s="43" t="s">
        <v>230</v>
      </c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2191.0730687999999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SUM(H34*0.11)+H34</f>
        <v>1.3666319999999998</v>
      </c>
      <c r="I28" s="22">
        <f>SUM(H34*0.08+H34)</f>
        <v>1.3296959999999998</v>
      </c>
      <c r="J28" s="22">
        <f>SUM(H34*0.08)+H34</f>
        <v>1.3296959999999998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SUM(H34*0.09)+H34</f>
        <v>1.3420079999999999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SUM(H34*0.09)+H34</f>
        <v>1.3420079999999999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SUM(INICIO!J89)</f>
        <v>1.4526399999999999</v>
      </c>
      <c r="D34" s="10"/>
      <c r="E34" s="10"/>
      <c r="F34" s="10"/>
      <c r="G34" s="26" t="s">
        <v>5</v>
      </c>
      <c r="H34" s="27">
        <f>SUM(INICIO!P89)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1.4626655999999998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40"/>
  <sheetViews>
    <sheetView showGridLines="0" topLeftCell="A13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PROPER(INICIO!D90)</f>
        <v xml:space="preserve"> 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2557.0585865999997</v>
      </c>
      <c r="D6" s="40">
        <f>SUM(C16*0.04)+C16</f>
        <v>2485.3653551999996</v>
      </c>
      <c r="E6" s="40">
        <f>SUM(C16*0.04)+C16</f>
        <v>2485.3653551999996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2557.0585865999997</v>
      </c>
      <c r="D7" s="40">
        <f>SUM(C16*0.04)+C16</f>
        <v>2485.3653551999996</v>
      </c>
      <c r="E7" s="40">
        <f>SUM(C16*0.04)+C16</f>
        <v>2485.3653551999996</v>
      </c>
      <c r="F7" s="16"/>
      <c r="G7" s="18">
        <v>2</v>
      </c>
      <c r="H7" s="40">
        <f>SUM(H16*0.14)+H16</f>
        <v>2336.1609599999997</v>
      </c>
      <c r="I7" s="40">
        <f>SUM(H16*0.11)+H16</f>
        <v>2274.6830399999994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2580.9563303999998</v>
      </c>
      <c r="D8" s="40">
        <f>SUM(C16*0.05)+C16</f>
        <v>2509.2630989999998</v>
      </c>
      <c r="E8" s="40">
        <f>SUM(C16*0.05)+C16</f>
        <v>2509.2630989999998</v>
      </c>
      <c r="F8" s="16"/>
      <c r="G8" s="18">
        <v>2.5</v>
      </c>
      <c r="H8" s="40">
        <f>SUM(H16*0.12)+H16</f>
        <v>2295.1756799999998</v>
      </c>
      <c r="I8" s="40">
        <f>SUM(H16*0.09)+H16</f>
        <v>2233.6977599999996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2628.7518179999997</v>
      </c>
      <c r="D9" s="40">
        <f>SUM(C16*0.07)+C16</f>
        <v>2557.0585865999997</v>
      </c>
      <c r="E9" s="40">
        <f>SUM(C16*0.07)+C16</f>
        <v>2557.0585865999997</v>
      </c>
      <c r="F9" s="16"/>
      <c r="G9" s="18">
        <v>3.17</v>
      </c>
      <c r="H9" s="40">
        <f>SUM(H16*0.11)+H16</f>
        <v>2274.6830399999994</v>
      </c>
      <c r="I9" s="40">
        <f>SUM(H16*0.08)+H16</f>
        <v>2213.2051199999996</v>
      </c>
      <c r="J9" s="40">
        <f>SUM(H16*0.08)+H16</f>
        <v>2213.2051199999996</v>
      </c>
      <c r="K9" s="9"/>
    </row>
    <row r="10" spans="1:11" ht="15.75" x14ac:dyDescent="0.25">
      <c r="A10" s="1"/>
      <c r="B10" s="17">
        <v>0.65</v>
      </c>
      <c r="C10" s="40">
        <f>SUM(C16*0.12)+C16</f>
        <v>2676.5473055999996</v>
      </c>
      <c r="D10" s="40">
        <f>SUM(C16*0.09)+C16</f>
        <v>2604.8540742</v>
      </c>
      <c r="E10" s="40" t="s">
        <v>2</v>
      </c>
      <c r="F10" s="16"/>
      <c r="G10" s="18" t="s">
        <v>4</v>
      </c>
      <c r="H10" s="40">
        <f>SUM(H16*0.1)+H16</f>
        <v>2254.1903999999995</v>
      </c>
      <c r="I10" s="40">
        <f>SUM(H16*0.07+H16)</f>
        <v>2192.7124799999997</v>
      </c>
      <c r="J10" s="40">
        <f>SUM(H16*0.07)+H16</f>
        <v>2192.7124799999997</v>
      </c>
      <c r="K10" s="9"/>
    </row>
    <row r="11" spans="1:11" ht="15.75" x14ac:dyDescent="0.25">
      <c r="A11" s="1"/>
      <c r="B11" s="17">
        <v>24</v>
      </c>
      <c r="C11" s="40">
        <f>SUM(C16*0.16)+C16</f>
        <v>2772.1382807999998</v>
      </c>
      <c r="D11" s="40">
        <f>SUM(C16*0.13)+C16</f>
        <v>2700.4450493999998</v>
      </c>
      <c r="E11" s="40" t="s">
        <v>2</v>
      </c>
      <c r="F11" s="16"/>
      <c r="G11" s="18">
        <v>6.35</v>
      </c>
      <c r="H11" s="40">
        <f>SUM(H16*0.11)+H16</f>
        <v>2274.6830399999994</v>
      </c>
      <c r="I11" s="40">
        <f>SUM(H16*0.08)+H16</f>
        <v>2213.2051199999996</v>
      </c>
      <c r="J11" s="40">
        <f>SUM(H16*0.08)+H16</f>
        <v>2213.2051199999996</v>
      </c>
      <c r="K11" s="9"/>
    </row>
    <row r="12" spans="1:11" ht="15.75" x14ac:dyDescent="0.25">
      <c r="A12" s="1"/>
      <c r="B12" s="17">
        <v>26</v>
      </c>
      <c r="C12" s="40">
        <f>SUM(C16*0.2)+C16</f>
        <v>2867.7292559999996</v>
      </c>
      <c r="D12" s="40">
        <f>SUM(C16*0.15)+C16</f>
        <v>2748.2405369999997</v>
      </c>
      <c r="E12" s="40" t="s">
        <v>2</v>
      </c>
      <c r="F12" s="16"/>
      <c r="G12" s="18">
        <v>8</v>
      </c>
      <c r="H12" s="40">
        <f>SUM(H16*0.11)+H16</f>
        <v>2274.6830399999994</v>
      </c>
      <c r="I12" s="40">
        <f>SUM(H16*0.08)+H16</f>
        <v>2213.2051199999996</v>
      </c>
      <c r="J12" s="40">
        <f>SUM(H16*0.08)+H16</f>
        <v>2213.2051199999996</v>
      </c>
      <c r="K12" s="9"/>
    </row>
    <row r="13" spans="1:11" ht="15.75" x14ac:dyDescent="0.25">
      <c r="A13" s="1"/>
      <c r="B13" s="17">
        <v>27</v>
      </c>
      <c r="C13" s="40">
        <f>SUM(C16*0.26)+C16</f>
        <v>3011.1157187999997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2295.1756799999998</v>
      </c>
      <c r="I13" s="40">
        <f>SUM(H16*0.09)+H16</f>
        <v>2233.6977599999996</v>
      </c>
      <c r="J13" s="40">
        <f>SUM(H16*0.1)+H16</f>
        <v>2254.1903999999995</v>
      </c>
      <c r="K13" s="9"/>
    </row>
    <row r="14" spans="1:11" ht="15.75" x14ac:dyDescent="0.25">
      <c r="A14" s="1"/>
      <c r="B14" s="17">
        <v>30</v>
      </c>
      <c r="C14" s="40">
        <f>SUM(C16*0.32)+C16</f>
        <v>3154.5021815999999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2295.1756799999998</v>
      </c>
      <c r="I14" s="40">
        <f>SUM(H16*0.09)+H16</f>
        <v>2233.6977599999996</v>
      </c>
      <c r="J14" s="40">
        <f>SUM(H16*0.1)+H16</f>
        <v>2254.1903999999995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SUM(INICIO!K90)</f>
        <v>2389.7743799999998</v>
      </c>
      <c r="D16" s="43"/>
      <c r="E16" s="43"/>
      <c r="F16" s="10"/>
      <c r="G16" s="26" t="s">
        <v>5</v>
      </c>
      <c r="H16" s="42">
        <f>SUM(INICIO!Q90)</f>
        <v>2049.2639999999997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2434.5256319999994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2411.9837279999997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2434.5256319999994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1.7069817</v>
      </c>
      <c r="D24" s="22">
        <f>SUM(C34*0.04)+C34</f>
        <v>1.6591224</v>
      </c>
      <c r="E24" s="22">
        <f>SUM(C34*0.04)+C34</f>
        <v>1.6591224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1.7069817</v>
      </c>
      <c r="D25" s="22">
        <f>SUM(C34*0.04)+C34</f>
        <v>1.6591224</v>
      </c>
      <c r="E25" s="22">
        <f>SUM(C34*0.04)+C34</f>
        <v>1.6591224</v>
      </c>
      <c r="F25" s="16"/>
      <c r="G25" s="18">
        <v>2</v>
      </c>
      <c r="H25" s="22">
        <f>SUM(H34*0.14)+H34</f>
        <v>1.5595199999999998</v>
      </c>
      <c r="I25" s="22">
        <f>SUM(H34*0.11)+H34</f>
        <v>1.5184799999999998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1.7229348</v>
      </c>
      <c r="D26" s="22">
        <f>SUM(C34*0.05)+C34</f>
        <v>1.6750754999999999</v>
      </c>
      <c r="E26" s="22">
        <f>SUM(C34*0.05)+C34</f>
        <v>1.6750754999999999</v>
      </c>
      <c r="F26" s="16"/>
      <c r="G26" s="18">
        <v>2.5</v>
      </c>
      <c r="H26" s="22">
        <f>SUM(H34*0.12)+H34</f>
        <v>1.5321599999999997</v>
      </c>
      <c r="I26" s="22">
        <f>SUM(H34*0.09)+H34</f>
        <v>1.4911199999999998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1.7548410000000001</v>
      </c>
      <c r="D27" s="22">
        <f>SUM(C34*0.07)+C34</f>
        <v>1.7069817</v>
      </c>
      <c r="E27" s="22">
        <f>SUM(C34*0.07)+C34</f>
        <v>1.7069817</v>
      </c>
      <c r="F27" s="16"/>
      <c r="G27" s="18">
        <v>3.17</v>
      </c>
      <c r="H27" s="22">
        <f>SUM(H34*0.11)+H34</f>
        <v>1.5184799999999998</v>
      </c>
      <c r="I27" s="22">
        <f>SUM(H34*0.08)+H34</f>
        <v>1.4774399999999999</v>
      </c>
      <c r="J27" s="22">
        <f>SUM(H34*0.08)+H34</f>
        <v>1.4774399999999999</v>
      </c>
      <c r="K27" s="9"/>
    </row>
    <row r="28" spans="1:11" s="1" customFormat="1" ht="15.75" x14ac:dyDescent="0.25">
      <c r="B28" s="17">
        <v>0.65</v>
      </c>
      <c r="C28" s="22">
        <f>SUM(C34*0.12)+C34</f>
        <v>1.7867472</v>
      </c>
      <c r="D28" s="22">
        <f>SUM(C34*0.09)+C34</f>
        <v>1.7388878999999999</v>
      </c>
      <c r="E28" s="23" t="s">
        <v>2</v>
      </c>
      <c r="F28" s="16"/>
      <c r="G28" s="18" t="s">
        <v>4</v>
      </c>
      <c r="H28" s="22">
        <f>SUM(H34*0.1)+H34</f>
        <v>1.5047999999999999</v>
      </c>
      <c r="I28" s="22">
        <f>SUM(H34*0.07+H34)</f>
        <v>1.46376</v>
      </c>
      <c r="J28" s="22">
        <f>SUM(H34*0.07)+H34</f>
        <v>1.46376</v>
      </c>
      <c r="K28" s="9"/>
    </row>
    <row r="29" spans="1:11" s="1" customFormat="1" ht="15.75" x14ac:dyDescent="0.25">
      <c r="B29" s="17">
        <v>24</v>
      </c>
      <c r="C29" s="22">
        <f>SUM(C34*0.16)+C34</f>
        <v>1.8505596</v>
      </c>
      <c r="D29" s="22">
        <f>SUM(C34*0.13)+C34</f>
        <v>1.8027002999999999</v>
      </c>
      <c r="E29" s="23" t="s">
        <v>2</v>
      </c>
      <c r="F29" s="16"/>
      <c r="G29" s="18">
        <v>6.35</v>
      </c>
      <c r="H29" s="22">
        <f>SUM(H34*0.11)+H34</f>
        <v>1.5184799999999998</v>
      </c>
      <c r="I29" s="22">
        <f>SUM(H34*0.08)+H34</f>
        <v>1.4774399999999999</v>
      </c>
      <c r="J29" s="22">
        <f>SUM(H34*0.08)+H34</f>
        <v>1.4774399999999999</v>
      </c>
      <c r="K29" s="9"/>
    </row>
    <row r="30" spans="1:11" s="1" customFormat="1" ht="15.75" x14ac:dyDescent="0.25">
      <c r="B30" s="17">
        <v>26</v>
      </c>
      <c r="C30" s="22">
        <f>SUM(C34*0.2)+C34</f>
        <v>1.914372</v>
      </c>
      <c r="D30" s="22">
        <f>SUM(C34*0.15)+C34</f>
        <v>1.8346065</v>
      </c>
      <c r="E30" s="23" t="s">
        <v>2</v>
      </c>
      <c r="F30" s="16"/>
      <c r="G30" s="18">
        <v>8</v>
      </c>
      <c r="H30" s="22">
        <f>SUM(H34*0.11)+H34</f>
        <v>1.5184799999999998</v>
      </c>
      <c r="I30" s="22">
        <f>SUM(H34*0.08)+H34</f>
        <v>1.4774399999999999</v>
      </c>
      <c r="J30" s="22">
        <f>SUM(H34*0.08)+H34</f>
        <v>1.4774399999999999</v>
      </c>
      <c r="K30" s="9"/>
    </row>
    <row r="31" spans="1:11" s="1" customFormat="1" ht="15.75" x14ac:dyDescent="0.25">
      <c r="B31" s="17">
        <v>27</v>
      </c>
      <c r="C31" s="22">
        <f>SUM(C34*0.26)+C34</f>
        <v>2.0100905999999998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1.5321599999999997</v>
      </c>
      <c r="I31" s="22">
        <f>SUM(H34*0.09)+H34</f>
        <v>1.4911199999999998</v>
      </c>
      <c r="J31" s="22">
        <f>SUM(H34*0.1)+H34</f>
        <v>1.5047999999999999</v>
      </c>
      <c r="K31" s="9"/>
    </row>
    <row r="32" spans="1:11" s="1" customFormat="1" ht="15.75" x14ac:dyDescent="0.25">
      <c r="B32" s="17">
        <v>30</v>
      </c>
      <c r="C32" s="22">
        <f>SUM(C34*0.32)+C34</f>
        <v>2.1058091999999999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1.5321599999999997</v>
      </c>
      <c r="I32" s="22">
        <f>SUM(H34*0.09)+H34</f>
        <v>1.4911199999999998</v>
      </c>
      <c r="J32" s="22">
        <f>SUM(H34*0.1)+H34</f>
        <v>1.5047999999999999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SUM(INICIO!J90)</f>
        <v>1.59531</v>
      </c>
      <c r="D34" s="10"/>
      <c r="E34" s="10"/>
      <c r="F34" s="10"/>
      <c r="G34" s="26" t="s">
        <v>5</v>
      </c>
      <c r="H34" s="27">
        <f>SUM(INICIO!P90)</f>
        <v>1.3679999999999999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1.625184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1.610136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1.625184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PROPER(INICIO!D91)</f>
        <v>Aceros Sae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2484.2967568999998</v>
      </c>
      <c r="D6" s="40">
        <f>SUM(C16*0.04)+C16</f>
        <v>2414.6435767999997</v>
      </c>
      <c r="E6" s="40">
        <f>SUM(C16*0.04)+C16</f>
        <v>2414.6435767999997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2484.2967568999998</v>
      </c>
      <c r="D7" s="40">
        <f>SUM(C16*0.04)+C16</f>
        <v>2414.6435767999997</v>
      </c>
      <c r="E7" s="40">
        <f>SUM(C16*0.04)+C16</f>
        <v>2414.6435767999997</v>
      </c>
      <c r="F7" s="16"/>
      <c r="G7" s="18">
        <v>2</v>
      </c>
      <c r="H7" s="40">
        <f>SUM(H16*0.14)+H16</f>
        <v>2277.7569359999998</v>
      </c>
      <c r="I7" s="40">
        <f>SUM(H16*0.11)+H16</f>
        <v>2217.8159639999999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2507.5144835999999</v>
      </c>
      <c r="D8" s="40">
        <f>SUM(C16*0.05)+C16</f>
        <v>2437.8613034999998</v>
      </c>
      <c r="E8" s="40">
        <f>SUM(C16*0.05)+C16</f>
        <v>2437.8613034999998</v>
      </c>
      <c r="F8" s="16"/>
      <c r="G8" s="18">
        <v>2.5</v>
      </c>
      <c r="H8" s="40">
        <f>SUM(H16*0.12)+H16</f>
        <v>2237.796288</v>
      </c>
      <c r="I8" s="40">
        <f>SUM(H16*0.09)+H16</f>
        <v>2177.8553159999997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2553.9499369999999</v>
      </c>
      <c r="D9" s="40">
        <f>SUM(C16*0.07)+C16</f>
        <v>2484.2967568999998</v>
      </c>
      <c r="E9" s="40">
        <f>SUM(C16*0.07)+C16</f>
        <v>2484.2967568999998</v>
      </c>
      <c r="F9" s="16"/>
      <c r="G9" s="18">
        <v>3.17</v>
      </c>
      <c r="H9" s="40">
        <f>SUM(H16*0.11)+H16</f>
        <v>2217.8159639999999</v>
      </c>
      <c r="I9" s="40">
        <f>SUM(H16*0.08)+H16</f>
        <v>2157.874992</v>
      </c>
      <c r="J9" s="40">
        <f>SUM(H16*0.08)+H16</f>
        <v>2157.874992</v>
      </c>
      <c r="K9" s="9"/>
    </row>
    <row r="10" spans="1:11" ht="15.75" x14ac:dyDescent="0.25">
      <c r="A10" s="1"/>
      <c r="B10" s="17">
        <v>0.65</v>
      </c>
      <c r="C10" s="40">
        <f>SUM(C16*0.12)+C16</f>
        <v>2600.3853903999998</v>
      </c>
      <c r="D10" s="40">
        <f>SUM(C16*0.09)+C16</f>
        <v>2530.7322102999997</v>
      </c>
      <c r="E10" s="40" t="s">
        <v>2</v>
      </c>
      <c r="F10" s="16"/>
      <c r="G10" s="18" t="s">
        <v>4</v>
      </c>
      <c r="H10" s="40">
        <f>SUM(H16*0.1)+H16</f>
        <v>2197.8356399999998</v>
      </c>
      <c r="I10" s="40">
        <f>SUM(H16*0.07+H16)</f>
        <v>2137.8946679999999</v>
      </c>
      <c r="J10" s="40">
        <f>SUM(H16*0.07)+H16</f>
        <v>2137.8946679999999</v>
      </c>
      <c r="K10" s="9"/>
    </row>
    <row r="11" spans="1:11" ht="15.75" x14ac:dyDescent="0.25">
      <c r="A11" s="1"/>
      <c r="B11" s="17">
        <v>24</v>
      </c>
      <c r="C11" s="40">
        <f>SUM(C16*0.16)+C16</f>
        <v>2693.2562971999996</v>
      </c>
      <c r="D11" s="40">
        <f>SUM(C16*0.13)+C16</f>
        <v>2623.6031171</v>
      </c>
      <c r="E11" s="40" t="s">
        <v>2</v>
      </c>
      <c r="F11" s="16"/>
      <c r="G11" s="18">
        <v>6.35</v>
      </c>
      <c r="H11" s="40">
        <f>SUM(H16*0.11)+H16</f>
        <v>2217.8159639999999</v>
      </c>
      <c r="I11" s="40">
        <f>SUM(H16*0.08)+H16</f>
        <v>2157.874992</v>
      </c>
      <c r="J11" s="40">
        <f>SUM(H16*0.08)+H16</f>
        <v>2157.874992</v>
      </c>
      <c r="K11" s="9"/>
    </row>
    <row r="12" spans="1:11" ht="15.75" x14ac:dyDescent="0.25">
      <c r="A12" s="1"/>
      <c r="B12" s="17">
        <v>26</v>
      </c>
      <c r="C12" s="40">
        <f>SUM(C16*0.2)+C16</f>
        <v>2786.1272039999999</v>
      </c>
      <c r="D12" s="40">
        <f>SUM(C16*0.15)+C16</f>
        <v>2670.0385704999999</v>
      </c>
      <c r="E12" s="40" t="s">
        <v>2</v>
      </c>
      <c r="F12" s="16"/>
      <c r="G12" s="18">
        <v>8</v>
      </c>
      <c r="H12" s="40">
        <f>SUM(H16*0.11)+H16</f>
        <v>2217.8159639999999</v>
      </c>
      <c r="I12" s="40">
        <f>SUM(H16*0.08)+H16</f>
        <v>2157.874992</v>
      </c>
      <c r="J12" s="40">
        <f>SUM(H16*0.08)+H16</f>
        <v>2157.874992</v>
      </c>
      <c r="K12" s="9"/>
    </row>
    <row r="13" spans="1:11" ht="15.75" x14ac:dyDescent="0.25">
      <c r="A13" s="1"/>
      <c r="B13" s="17">
        <v>27</v>
      </c>
      <c r="C13" s="40">
        <f>SUM(C16*0.26)+C16</f>
        <v>2925.4335641999996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2237.796288</v>
      </c>
      <c r="I13" s="40">
        <f>SUM(H16*0.09)+H16</f>
        <v>2177.8553159999997</v>
      </c>
      <c r="J13" s="40">
        <f>SUM(H16*0.09)+H16</f>
        <v>2177.8553159999997</v>
      </c>
      <c r="K13" s="9"/>
    </row>
    <row r="14" spans="1:11" ht="15.75" x14ac:dyDescent="0.25">
      <c r="A14" s="1"/>
      <c r="B14" s="17">
        <v>30</v>
      </c>
      <c r="C14" s="40">
        <f>SUM(C16*0.32)+C16</f>
        <v>3064.7399243999998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2237.796288</v>
      </c>
      <c r="I14" s="40">
        <f>SUM(H16*0.09)+H16</f>
        <v>2177.8553159999997</v>
      </c>
      <c r="J14" s="40">
        <f>SUM(H16*0.09)+H16</f>
        <v>2177.8553159999997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SUM(INICIO!K91)</f>
        <v>2321.7726699999998</v>
      </c>
      <c r="D16" s="43"/>
      <c r="E16" s="43"/>
      <c r="F16" s="10"/>
      <c r="G16" s="26" t="s">
        <v>5</v>
      </c>
      <c r="H16" s="42">
        <f>SUM(INICIO!Q91)</f>
        <v>1998.0323999999998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2373.6624912000002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2351.6841347999998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2373.6624912000002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1.6584090499999999</v>
      </c>
      <c r="D24" s="22">
        <f>SUM(C34*0.04)+C34</f>
        <v>1.6119116</v>
      </c>
      <c r="E24" s="22">
        <f>SUM(C34*0.04)+C34</f>
        <v>1.6119116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1.6584090499999999</v>
      </c>
      <c r="D25" s="22">
        <f>SUM(C34*0.04)+C34</f>
        <v>1.6119116</v>
      </c>
      <c r="E25" s="22">
        <f>SUM(C34*0.04)+C34</f>
        <v>1.6119116</v>
      </c>
      <c r="F25" s="16"/>
      <c r="G25" s="18">
        <v>2</v>
      </c>
      <c r="H25" s="22">
        <f>SUM(H34*0.14)+H34</f>
        <v>1.5205319999999998</v>
      </c>
      <c r="I25" s="22">
        <f>SUM(H34*0.11)+H34</f>
        <v>1.4805179999999998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1.6739081999999998</v>
      </c>
      <c r="D26" s="22">
        <f>SUM(C34*0.05)+C34</f>
        <v>1.6274107499999999</v>
      </c>
      <c r="E26" s="22">
        <f>SUM(C34*0.05)+C34</f>
        <v>1.6274107499999999</v>
      </c>
      <c r="F26" s="16"/>
      <c r="G26" s="18">
        <v>2.5</v>
      </c>
      <c r="H26" s="22">
        <f>SUM(H34*0.12)+H34</f>
        <v>1.4938559999999999</v>
      </c>
      <c r="I26" s="22">
        <f>SUM(H34*0.09)+H34</f>
        <v>1.4538419999999999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1.7049064999999999</v>
      </c>
      <c r="D27" s="22">
        <f>SUM(C34*0.07)+C34</f>
        <v>1.6584090499999999</v>
      </c>
      <c r="E27" s="22">
        <f>SUM(C34*0.07)+C34</f>
        <v>1.6584090499999999</v>
      </c>
      <c r="F27" s="16"/>
      <c r="G27" s="18">
        <v>3.17</v>
      </c>
      <c r="H27" s="22">
        <f>SUM(H34*0.11)+H34</f>
        <v>1.4805179999999998</v>
      </c>
      <c r="I27" s="22">
        <f>SUM(H34*0.08)+H34</f>
        <v>1.4405039999999998</v>
      </c>
      <c r="J27" s="22">
        <f>SUM(H34*0.08)+H34</f>
        <v>1.4405039999999998</v>
      </c>
      <c r="K27" s="9"/>
    </row>
    <row r="28" spans="1:11" s="1" customFormat="1" ht="15.75" x14ac:dyDescent="0.25">
      <c r="B28" s="17">
        <v>0.65</v>
      </c>
      <c r="C28" s="22">
        <f>SUM(C34*0.12)+C34</f>
        <v>1.7359047999999999</v>
      </c>
      <c r="D28" s="22">
        <f>SUM(C34*0.09)+C34</f>
        <v>1.68940735</v>
      </c>
      <c r="E28" s="23" t="s">
        <v>2</v>
      </c>
      <c r="F28" s="16"/>
      <c r="G28" s="18" t="s">
        <v>4</v>
      </c>
      <c r="H28" s="22">
        <f>SUM(H34*0.1)+H34</f>
        <v>1.4671799999999999</v>
      </c>
      <c r="I28" s="22">
        <f>SUM(H34*0.07+H34)</f>
        <v>1.4271659999999999</v>
      </c>
      <c r="J28" s="22">
        <f>SUM(H34*0.07)+H34</f>
        <v>1.4271659999999999</v>
      </c>
      <c r="K28" s="9"/>
    </row>
    <row r="29" spans="1:11" s="1" customFormat="1" ht="15.75" x14ac:dyDescent="0.25">
      <c r="B29" s="17">
        <v>24</v>
      </c>
      <c r="C29" s="22">
        <f>SUM(C34*0.16)+C34</f>
        <v>1.7979014</v>
      </c>
      <c r="D29" s="22">
        <f>SUM(C34*0.13)+C34</f>
        <v>1.7514039499999998</v>
      </c>
      <c r="E29" s="23" t="s">
        <v>2</v>
      </c>
      <c r="F29" s="16"/>
      <c r="G29" s="18">
        <v>6.35</v>
      </c>
      <c r="H29" s="22">
        <f>SUM(H34*0.11)+H34</f>
        <v>1.4805179999999998</v>
      </c>
      <c r="I29" s="22">
        <f>SUM(H34*0.08)+H34</f>
        <v>1.4405039999999998</v>
      </c>
      <c r="J29" s="22">
        <f>SUM(H34*0.08)+H34</f>
        <v>1.4405039999999998</v>
      </c>
      <c r="K29" s="9"/>
    </row>
    <row r="30" spans="1:11" s="1" customFormat="1" ht="15.75" x14ac:dyDescent="0.25">
      <c r="B30" s="17">
        <v>26</v>
      </c>
      <c r="C30" s="22">
        <f>SUM(C34*0.2)+C34</f>
        <v>1.8598979999999998</v>
      </c>
      <c r="D30" s="22">
        <f>SUM(C34*0.15)+C34</f>
        <v>1.7824022499999999</v>
      </c>
      <c r="E30" s="23" t="s">
        <v>2</v>
      </c>
      <c r="F30" s="16"/>
      <c r="G30" s="18">
        <v>8</v>
      </c>
      <c r="H30" s="22">
        <f>SUM(H34*0.11)+H34</f>
        <v>1.4805179999999998</v>
      </c>
      <c r="I30" s="22">
        <f>SUM(H34*0.08)+H34</f>
        <v>1.4405039999999998</v>
      </c>
      <c r="J30" s="22">
        <f>SUM(H34*0.08)+H34</f>
        <v>1.4405039999999998</v>
      </c>
      <c r="K30" s="9"/>
    </row>
    <row r="31" spans="1:11" s="1" customFormat="1" ht="15.75" x14ac:dyDescent="0.25">
      <c r="B31" s="17">
        <v>27</v>
      </c>
      <c r="C31" s="22">
        <f>SUM(C34*0.26)+C34</f>
        <v>1.9528928999999999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1.4938559999999999</v>
      </c>
      <c r="I31" s="22">
        <f>SUM(H34*0.09)+H34</f>
        <v>1.4538419999999999</v>
      </c>
      <c r="J31" s="22">
        <f>SUM(H34*0.09 )+H34</f>
        <v>1.4538419999999999</v>
      </c>
      <c r="K31" s="9"/>
    </row>
    <row r="32" spans="1:11" s="1" customFormat="1" ht="15.75" x14ac:dyDescent="0.25">
      <c r="B32" s="17">
        <v>30</v>
      </c>
      <c r="C32" s="22">
        <f>SUM(C34*0.32)+C34</f>
        <v>2.0458878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1.4938559999999999</v>
      </c>
      <c r="I32" s="22">
        <f>SUM(H34*0.09)+H34</f>
        <v>1.4538419999999999</v>
      </c>
      <c r="J32" s="22">
        <f>SUM(H34*0.09)+H34</f>
        <v>1.4538419999999999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SUM(INICIO!J91)</f>
        <v>1.5499149999999999</v>
      </c>
      <c r="D34" s="10"/>
      <c r="E34" s="10"/>
      <c r="F34" s="10"/>
      <c r="G34" s="26" t="s">
        <v>5</v>
      </c>
      <c r="H34" s="27">
        <f>SUM(INICIO!P91)</f>
        <v>1.3337999999999999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1.5845543999999998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1.5698825999999999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1.5845543999999998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PROPER(INICIO!D92)</f>
        <v>Mom/Reynoso/Mirta Torres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2224.4330793999998</v>
      </c>
      <c r="D6" s="40">
        <f>SUM(C16*0.04)+C16</f>
        <v>2162.0657968</v>
      </c>
      <c r="E6" s="40">
        <f>SUM(C16*0.04)+C16</f>
        <v>2162.0657968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2224.4330793999998</v>
      </c>
      <c r="D7" s="40">
        <f>SUM(C16*0.04)+C16</f>
        <v>2162.0657968</v>
      </c>
      <c r="E7" s="40">
        <f>SUM(C16*0.04)+C16</f>
        <v>2162.0657968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2245.2221736000001</v>
      </c>
      <c r="D8" s="40">
        <f>SUM(C16*0.05)+C16</f>
        <v>2182.854891</v>
      </c>
      <c r="E8" s="40">
        <f>SUM(C16*0.05)+C16</f>
        <v>2182.854891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2286.800362</v>
      </c>
      <c r="D9" s="40">
        <f>SUM(C16*0.07)+C16</f>
        <v>2224.4330793999998</v>
      </c>
      <c r="E9" s="40">
        <f>SUM(C16*0.07)+C16</f>
        <v>2224.4330793999998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2328.3785503999998</v>
      </c>
      <c r="D10" s="40">
        <f>SUM(C16*0.09)+C16</f>
        <v>2266.0112678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2411.5349271999999</v>
      </c>
      <c r="D11" s="40">
        <f>SUM(C16*0.13)+C16</f>
        <v>2349.1676446000001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2494.6913039999999</v>
      </c>
      <c r="D12" s="40">
        <f>SUM(C16*0.15)+C16</f>
        <v>2390.7458329999999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2619.4258691999999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2744.1604343999998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SUM(INICIO!K92)</f>
        <v>2078.90942</v>
      </c>
      <c r="D16" s="43"/>
      <c r="E16" s="43"/>
      <c r="F16" s="10"/>
      <c r="G16" s="26" t="s">
        <v>5</v>
      </c>
      <c r="H16" s="42">
        <f>SUM(INICIO!Q92)</f>
        <v>1793.1059999999998</v>
      </c>
      <c r="I16" s="56" t="s">
        <v>82</v>
      </c>
      <c r="J16" s="57">
        <v>2.54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1.4849352999999998</v>
      </c>
      <c r="D24" s="22">
        <f>SUM(C34*0.04)+C34</f>
        <v>1.4433015999999999</v>
      </c>
      <c r="E24" s="22">
        <f>SUM(C34*0.04)+C34</f>
        <v>1.4433015999999999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1.4849352999999998</v>
      </c>
      <c r="D25" s="22">
        <f>SUM(C34*0.04)+C34</f>
        <v>1.4433015999999999</v>
      </c>
      <c r="E25" s="22">
        <f>SUM(C34*0.04)+C34</f>
        <v>1.4433015999999999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1.4988131999999998</v>
      </c>
      <c r="D26" s="22">
        <f>SUM(C34*0.05)+C34</f>
        <v>1.4571794999999998</v>
      </c>
      <c r="E26" s="22">
        <f>SUM(C34*0.05)+C34</f>
        <v>1.4571794999999998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1.5265689999999998</v>
      </c>
      <c r="D27" s="22">
        <f>SUM(C34*0.07)+C34</f>
        <v>1.4849352999999998</v>
      </c>
      <c r="E27" s="22">
        <f>SUM(C34*0.07)+C34</f>
        <v>1.4849352999999998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1.5543247999999998</v>
      </c>
      <c r="D28" s="22">
        <f>SUM(C34*0.09)+C34</f>
        <v>1.5126910999999998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1.6098363999999998</v>
      </c>
      <c r="D29" s="22">
        <f>SUM(C34*0.13)+C34</f>
        <v>1.5682026999999998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1.6653479999999998</v>
      </c>
      <c r="D30" s="22">
        <f>SUM(C34*0.15)+C34</f>
        <v>1.5959584999999998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1.7486153999999998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1.8318827999999998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SUM(INICIO!J92)</f>
        <v>1.3877899999999999</v>
      </c>
      <c r="D34" s="10"/>
      <c r="E34" s="10"/>
      <c r="F34" s="10"/>
      <c r="G34" s="26" t="s">
        <v>5</v>
      </c>
      <c r="H34" s="27">
        <f>SUM(INICIO!P92)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PROPER(INICIO!D93)</f>
        <v xml:space="preserve"> 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2557.0585865999997</v>
      </c>
      <c r="D6" s="40">
        <f>SUM(C16*0.04)+C16</f>
        <v>2485.3653551999996</v>
      </c>
      <c r="E6" s="40">
        <f>SUM(C16*0.04)+C16</f>
        <v>2485.3653551999996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2557.0585865999997</v>
      </c>
      <c r="D7" s="40">
        <f>SUM(C16*0.04)+C16</f>
        <v>2485.3653551999996</v>
      </c>
      <c r="E7" s="40">
        <f>SUM(C16*0.04)+C16</f>
        <v>2485.3653551999996</v>
      </c>
      <c r="F7" s="16"/>
      <c r="G7" s="18">
        <v>2</v>
      </c>
      <c r="H7" s="40">
        <f>SUM(H16*0.14)+H16</f>
        <v>2316.6929519999999</v>
      </c>
      <c r="I7" s="40">
        <f>SUM(H16*0.11)+H16</f>
        <v>2255.7273479999999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2580.9563303999998</v>
      </c>
      <c r="D8" s="40">
        <f>SUM(C16*0.05)+C16</f>
        <v>2509.2630989999998</v>
      </c>
      <c r="E8" s="40">
        <f>SUM(C16*0.05)+C16</f>
        <v>2509.2630989999998</v>
      </c>
      <c r="F8" s="16"/>
      <c r="G8" s="18">
        <v>2.5</v>
      </c>
      <c r="H8" s="40">
        <f>SUM(H16*0.12)+H16</f>
        <v>2276.0492159999999</v>
      </c>
      <c r="I8" s="40">
        <f>SUM(H16*0.09)+H16</f>
        <v>2215.0836119999994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2628.7518179999997</v>
      </c>
      <c r="D9" s="40">
        <f>SUM(C16*0.07)+C16</f>
        <v>2557.0585865999997</v>
      </c>
      <c r="E9" s="40">
        <f>SUM(C16*0.07)+C16</f>
        <v>2557.0585865999997</v>
      </c>
      <c r="F9" s="16"/>
      <c r="G9" s="18">
        <v>3.17</v>
      </c>
      <c r="H9" s="40">
        <f>SUM(H16*0.11)+H16</f>
        <v>2255.7273479999999</v>
      </c>
      <c r="I9" s="40">
        <f>SUM(H16*0.08)+H16</f>
        <v>2194.7617439999999</v>
      </c>
      <c r="J9" s="40">
        <f>SUM(H16*0.08)+H16</f>
        <v>2194.7617439999999</v>
      </c>
      <c r="K9" s="9"/>
    </row>
    <row r="10" spans="1:11" ht="15.75" x14ac:dyDescent="0.25">
      <c r="A10" s="1"/>
      <c r="B10" s="17">
        <v>0.65</v>
      </c>
      <c r="C10" s="40">
        <f>SUM(C16*0.12)+C16</f>
        <v>2676.5473055999996</v>
      </c>
      <c r="D10" s="40">
        <f>SUM(C16*0.09)+C16</f>
        <v>2604.8540742</v>
      </c>
      <c r="E10" s="40" t="s">
        <v>2</v>
      </c>
      <c r="F10" s="16"/>
      <c r="G10" s="18" t="s">
        <v>4</v>
      </c>
      <c r="H10" s="40">
        <f>SUM(H16*0.1)+H16</f>
        <v>2235.4054799999999</v>
      </c>
      <c r="I10" s="40">
        <f>SUM(H16*0.07+H16)</f>
        <v>2174.4398759999999</v>
      </c>
      <c r="J10" s="40">
        <f>SUM(H16*0.07)+H16</f>
        <v>2174.4398759999999</v>
      </c>
      <c r="K10" s="9"/>
    </row>
    <row r="11" spans="1:11" ht="15.75" x14ac:dyDescent="0.25">
      <c r="A11" s="1"/>
      <c r="B11" s="17">
        <v>24</v>
      </c>
      <c r="C11" s="40">
        <f>SUM(C16*0.16)+C16</f>
        <v>2772.1382807999998</v>
      </c>
      <c r="D11" s="40">
        <f>SUM(C16*0.13)+C16</f>
        <v>2700.4450493999998</v>
      </c>
      <c r="E11" s="40" t="s">
        <v>2</v>
      </c>
      <c r="F11" s="16"/>
      <c r="G11" s="18">
        <v>6.35</v>
      </c>
      <c r="H11" s="40">
        <f>SUM(H16*0.11)+H16</f>
        <v>2255.7273479999999</v>
      </c>
      <c r="I11" s="40">
        <f>SUM(H16*0.08)+H16</f>
        <v>2194.7617439999999</v>
      </c>
      <c r="J11" s="40">
        <f>SUM(H16*0.08)+H16</f>
        <v>2194.7617439999999</v>
      </c>
      <c r="K11" s="9"/>
    </row>
    <row r="12" spans="1:11" ht="15.75" x14ac:dyDescent="0.25">
      <c r="A12" s="1"/>
      <c r="B12" s="17">
        <v>26</v>
      </c>
      <c r="C12" s="40">
        <f>SUM(C16*0.2)+C16</f>
        <v>2867.7292559999996</v>
      </c>
      <c r="D12" s="40">
        <f>SUM(C16*0.15)+C16</f>
        <v>2748.2405369999997</v>
      </c>
      <c r="E12" s="40" t="s">
        <v>2</v>
      </c>
      <c r="F12" s="16"/>
      <c r="G12" s="18">
        <v>8</v>
      </c>
      <c r="H12" s="40">
        <f>SUM(H16*0.11)+H16</f>
        <v>2255.7273479999999</v>
      </c>
      <c r="I12" s="40">
        <f>SUM(H16*0.08)+H16</f>
        <v>2194.7617439999999</v>
      </c>
      <c r="J12" s="40">
        <f>SUM(H16*0.08)+H16</f>
        <v>2194.7617439999999</v>
      </c>
      <c r="K12" s="9"/>
    </row>
    <row r="13" spans="1:11" ht="15.75" x14ac:dyDescent="0.25">
      <c r="A13" s="1"/>
      <c r="B13" s="17">
        <v>27</v>
      </c>
      <c r="C13" s="40">
        <f>SUM(C16*0.26)+C16</f>
        <v>3011.1157187999997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2276.0492159999999</v>
      </c>
      <c r="I13" s="40">
        <f>SUM(H16*0.09)+H16</f>
        <v>2215.0836119999994</v>
      </c>
      <c r="J13" s="40">
        <f>SUM(H16*0.1)+H16</f>
        <v>2235.4054799999999</v>
      </c>
      <c r="K13" s="9"/>
    </row>
    <row r="14" spans="1:11" ht="15.75" x14ac:dyDescent="0.25">
      <c r="A14" s="1"/>
      <c r="B14" s="17">
        <v>30</v>
      </c>
      <c r="C14" s="40">
        <f>SUM(C16*0.32)+C16</f>
        <v>3154.5021815999999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2276.0492159999999</v>
      </c>
      <c r="I14" s="40">
        <f>SUM(H16*0.09)+H16</f>
        <v>2215.0836119999994</v>
      </c>
      <c r="J14" s="40">
        <f>SUM(H16*0.1)+H16</f>
        <v>2235.4054799999999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SUM(INICIO!K93)</f>
        <v>2389.7743799999998</v>
      </c>
      <c r="D16" s="43"/>
      <c r="E16" s="43"/>
      <c r="F16" s="10"/>
      <c r="G16" s="26" t="s">
        <v>5</v>
      </c>
      <c r="H16" s="42">
        <f>SUM(INICIO!Q93)</f>
        <v>2032.1867999999997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2414.2379184000001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2391.8838636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2414.2379184000001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1.7069817</v>
      </c>
      <c r="D24" s="22">
        <f>SUM(C34*0.04)+C34</f>
        <v>1.6591224</v>
      </c>
      <c r="E24" s="22">
        <f>SUM(C34*0.04)+C34</f>
        <v>1.6591224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1.7069817</v>
      </c>
      <c r="D25" s="22">
        <f>SUM(C34*0.04)+C34</f>
        <v>1.6591224</v>
      </c>
      <c r="E25" s="22">
        <f>SUM(C34*0.04)+C34</f>
        <v>1.6591224</v>
      </c>
      <c r="F25" s="16"/>
      <c r="G25" s="18">
        <v>2</v>
      </c>
      <c r="H25" s="22">
        <f>SUM(H34*0.14)+H34</f>
        <v>1.5465239999999998</v>
      </c>
      <c r="I25" s="22">
        <f>SUM(H34*0.11)+H34</f>
        <v>1.5058259999999999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1.7229348</v>
      </c>
      <c r="D26" s="22">
        <f>SUM(C34*0.05)+C34</f>
        <v>1.6750754999999999</v>
      </c>
      <c r="E26" s="22">
        <f>SUM(C34*0.05)+C34</f>
        <v>1.6750754999999999</v>
      </c>
      <c r="F26" s="16"/>
      <c r="G26" s="18">
        <v>2.5</v>
      </c>
      <c r="H26" s="22">
        <f>SUM(H34*0.12)+H34</f>
        <v>1.5193919999999999</v>
      </c>
      <c r="I26" s="22">
        <f>SUM(H34*0.09)+H34</f>
        <v>1.4786939999999997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1.7548410000000001</v>
      </c>
      <c r="D27" s="22">
        <f>SUM(C34*0.07)+C34</f>
        <v>1.7069817</v>
      </c>
      <c r="E27" s="22">
        <f>SUM(C34*0.07)+C34</f>
        <v>1.7069817</v>
      </c>
      <c r="F27" s="16"/>
      <c r="G27" s="18">
        <v>3.17</v>
      </c>
      <c r="H27" s="22">
        <f>SUM(H34*0.11)+H34</f>
        <v>1.5058259999999999</v>
      </c>
      <c r="I27" s="22">
        <f>SUM(H34*0.08)+H34</f>
        <v>1.4651279999999998</v>
      </c>
      <c r="J27" s="22">
        <f>SUM(H34*0.08)+H34</f>
        <v>1.4651279999999998</v>
      </c>
      <c r="K27" s="9"/>
    </row>
    <row r="28" spans="1:11" s="1" customFormat="1" ht="15.75" x14ac:dyDescent="0.25">
      <c r="B28" s="17">
        <v>0.65</v>
      </c>
      <c r="C28" s="22">
        <f>SUM(C34*0.12)+C34</f>
        <v>1.7867472</v>
      </c>
      <c r="D28" s="22">
        <f>SUM(C34*0.09)+C34</f>
        <v>1.7388878999999999</v>
      </c>
      <c r="E28" s="23" t="s">
        <v>2</v>
      </c>
      <c r="F28" s="16"/>
      <c r="G28" s="18" t="s">
        <v>4</v>
      </c>
      <c r="H28" s="22">
        <f>SUM(H34*0.1)+H34</f>
        <v>1.4922599999999997</v>
      </c>
      <c r="I28" s="22">
        <f>SUM(H34*0.07+H34)</f>
        <v>1.4515619999999998</v>
      </c>
      <c r="J28" s="22">
        <f>SUM(H34*0.07)+H34</f>
        <v>1.4515619999999998</v>
      </c>
      <c r="K28" s="9"/>
    </row>
    <row r="29" spans="1:11" s="1" customFormat="1" ht="15.75" x14ac:dyDescent="0.25">
      <c r="B29" s="17">
        <v>24</v>
      </c>
      <c r="C29" s="22">
        <f>SUM(C34*0.16)+C34</f>
        <v>1.8505596</v>
      </c>
      <c r="D29" s="22">
        <f>SUM(C34*0.13)+C34</f>
        <v>1.8027002999999999</v>
      </c>
      <c r="E29" s="23" t="s">
        <v>2</v>
      </c>
      <c r="F29" s="16"/>
      <c r="G29" s="18">
        <v>6.35</v>
      </c>
      <c r="H29" s="22">
        <f>SUM(H34*0.11)+H34</f>
        <v>1.5058259999999999</v>
      </c>
      <c r="I29" s="22">
        <f>SUM(H34*0.08)+H34</f>
        <v>1.4651279999999998</v>
      </c>
      <c r="J29" s="22">
        <f>SUM(H34*0.08)+H34</f>
        <v>1.4651279999999998</v>
      </c>
      <c r="K29" s="9"/>
    </row>
    <row r="30" spans="1:11" s="1" customFormat="1" ht="15.75" x14ac:dyDescent="0.25">
      <c r="B30" s="17">
        <v>26</v>
      </c>
      <c r="C30" s="22">
        <f>SUM(C34*0.2)+C34</f>
        <v>1.914372</v>
      </c>
      <c r="D30" s="22">
        <f>SUM(C34*0.15)+C34</f>
        <v>1.8346065</v>
      </c>
      <c r="E30" s="23" t="s">
        <v>2</v>
      </c>
      <c r="F30" s="16"/>
      <c r="G30" s="18">
        <v>8</v>
      </c>
      <c r="H30" s="22">
        <f>SUM(H34*0.11)+H34</f>
        <v>1.5058259999999999</v>
      </c>
      <c r="I30" s="22">
        <f>SUM(H34*0.08)+H34</f>
        <v>1.4651279999999998</v>
      </c>
      <c r="J30" s="22">
        <f>SUM(H34*0.08)+H34</f>
        <v>1.4651279999999998</v>
      </c>
      <c r="K30" s="9"/>
    </row>
    <row r="31" spans="1:11" s="1" customFormat="1" ht="15.75" x14ac:dyDescent="0.25">
      <c r="B31" s="17">
        <v>27</v>
      </c>
      <c r="C31" s="22">
        <f>SUM(C34*0.26)+C34</f>
        <v>2.0100905999999998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1.5193919999999999</v>
      </c>
      <c r="I31" s="22">
        <f>SUM(H34*0.09)+H34</f>
        <v>1.4786939999999997</v>
      </c>
      <c r="J31" s="22">
        <f>SUM(H34*0.1)+H34</f>
        <v>1.4922599999999997</v>
      </c>
      <c r="K31" s="9"/>
    </row>
    <row r="32" spans="1:11" s="1" customFormat="1" ht="15.75" x14ac:dyDescent="0.25">
      <c r="B32" s="17">
        <v>30</v>
      </c>
      <c r="C32" s="22">
        <f>SUM(C34*0.32)+C34</f>
        <v>2.1058091999999999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1.5193919999999999</v>
      </c>
      <c r="I32" s="22">
        <f>SUM(H34*0.09)+H34</f>
        <v>1.4786939999999997</v>
      </c>
      <c r="J32" s="22">
        <f>SUM(H34*0.1)+H34</f>
        <v>1.4922599999999997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SUM(INICIO!J93)</f>
        <v>1.59531</v>
      </c>
      <c r="D34" s="10"/>
      <c r="E34" s="10"/>
      <c r="F34" s="10"/>
      <c r="G34" s="26" t="s">
        <v>5</v>
      </c>
      <c r="H34" s="27">
        <f>SUM(INICIO!P93)</f>
        <v>1.3565999999999998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1.6116407999999998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1.5967181999999998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1.6116407999999998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40"/>
  <sheetViews>
    <sheetView showGridLines="0" topLeftCell="A4" workbookViewId="0">
      <selection activeCell="J17" sqref="J17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PROPER(INICIO!D94)</f>
        <v>Corte Por Agua/Almametal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2005.2048239999999</v>
      </c>
      <c r="I7" s="40">
        <f>SUM(H16*0.11)+H16</f>
        <v>1952.4362759999999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1970.0257919999999</v>
      </c>
      <c r="I8" s="40">
        <f>SUM(H16*0.09)+H16</f>
        <v>1917.2572439999999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1952.4362759999999</v>
      </c>
      <c r="I9" s="40">
        <f>SUM(H16*0.08)+H16</f>
        <v>1899.6677279999999</v>
      </c>
      <c r="J9" s="40">
        <f>SUM(H16*0.08)+H16</f>
        <v>1899.6677279999999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1934.8467599999999</v>
      </c>
      <c r="I10" s="40">
        <f>SUM(H16*0.07+H16)</f>
        <v>1882.0782119999999</v>
      </c>
      <c r="J10" s="40">
        <f>SUM(H16*0.07)+H16</f>
        <v>1882.0782119999999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1952.4362759999999</v>
      </c>
      <c r="I11" s="40">
        <f>SUM(H16*0.08)+H16</f>
        <v>1899.6677279999999</v>
      </c>
      <c r="J11" s="40">
        <f>SUM(H16*0.08)+H16</f>
        <v>1899.6677279999999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1952.4362759999999</v>
      </c>
      <c r="I12" s="40">
        <f>SUM(H16*0.08)+H16</f>
        <v>1899.6677279999999</v>
      </c>
      <c r="J12" s="40">
        <f>SUM(H16*0.08)+H16</f>
        <v>1899.6677279999999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1970.0257919999999</v>
      </c>
      <c r="I13" s="40">
        <f>SUM(H16*0.09)+H16</f>
        <v>1917.2572439999999</v>
      </c>
      <c r="J13" s="40">
        <f>SUM(H16*0.1)+H16</f>
        <v>1934.8467599999999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1970.0257919999999</v>
      </c>
      <c r="I14" s="40">
        <f>SUM(H16*0.09)+H16</f>
        <v>1917.2572439999999</v>
      </c>
      <c r="J14" s="40">
        <f>SUM(H16*0.1)+H16</f>
        <v>1934.8467599999999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SUM(INICIO!K94)</f>
        <v>2098.3384799999999</v>
      </c>
      <c r="D16" s="43"/>
      <c r="E16" s="43"/>
      <c r="F16" s="10"/>
      <c r="G16" s="26" t="s">
        <v>5</v>
      </c>
      <c r="H16" s="42">
        <f>SUM(INICIO!Q94)</f>
        <v>1758.9515999999999</v>
      </c>
      <c r="I16" s="43"/>
      <c r="J16" s="43" t="s">
        <v>327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2089.6345007999998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2070.2860332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2089.6345007999998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1.3385879999999999</v>
      </c>
      <c r="I25" s="22">
        <f>SUM(H34*0.11)+H34</f>
        <v>1.3033619999999999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1.3151039999999998</v>
      </c>
      <c r="I26" s="22">
        <f>SUM(H34*0.09)+H34</f>
        <v>1.2798779999999998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1.3033619999999999</v>
      </c>
      <c r="I27" s="22">
        <f>SUM(H34*0.08)+H34</f>
        <v>1.2681359999999999</v>
      </c>
      <c r="J27" s="22">
        <f>SUM(H34*0.08)+H34</f>
        <v>1.2681359999999999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1.29162</v>
      </c>
      <c r="I28" s="22">
        <f>SUM(H34*0.07+H34)</f>
        <v>1.256394</v>
      </c>
      <c r="J28" s="22">
        <f>SUM(H34*0.07)+H34</f>
        <v>1.256394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1.3033619999999999</v>
      </c>
      <c r="I29" s="22">
        <f>SUM(H34*0.08)+H34</f>
        <v>1.2681359999999999</v>
      </c>
      <c r="J29" s="22">
        <f>SUM(H34*0.08)+H34</f>
        <v>1.2681359999999999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1.3033619999999999</v>
      </c>
      <c r="I30" s="22">
        <f>SUM(H34*0.08)+H34</f>
        <v>1.2681359999999999</v>
      </c>
      <c r="J30" s="22">
        <f>SUM(H34*0.08)+H34</f>
        <v>1.2681359999999999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1.3151039999999998</v>
      </c>
      <c r="I31" s="22">
        <f>SUM(H34*0.09)+H34</f>
        <v>1.2798779999999998</v>
      </c>
      <c r="J31" s="22">
        <f>SUM(H34*0.1)+H34</f>
        <v>1.29162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1.3151039999999998</v>
      </c>
      <c r="I32" s="22">
        <f>SUM(H34*0.09)+H34</f>
        <v>1.2798779999999998</v>
      </c>
      <c r="J32" s="22">
        <f>SUM(H34*0.1)+H34</f>
        <v>1.29162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SUM(INICIO!J94)</f>
        <v>1.40076</v>
      </c>
      <c r="D34" s="10"/>
      <c r="E34" s="10"/>
      <c r="F34" s="10"/>
      <c r="G34" s="26" t="s">
        <v>5</v>
      </c>
      <c r="H34" s="27">
        <f>SUM(INICIO!P94)</f>
        <v>1.1741999999999999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1.3949495999999999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1.3820334000000001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1.3949495999999999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PROPER(INICIO!D95)</f>
        <v>Pugelj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2557.0585865999997</v>
      </c>
      <c r="D6" s="40">
        <f>SUM(C16*0.04)+C16</f>
        <v>2485.3653551999996</v>
      </c>
      <c r="E6" s="40">
        <f>SUM(C16*0.04)+C16</f>
        <v>2485.3653551999996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2557.0585865999997</v>
      </c>
      <c r="D7" s="40">
        <f>SUM(C16*0.04)+C16</f>
        <v>2485.3653551999996</v>
      </c>
      <c r="E7" s="40">
        <f>SUM(C16*0.04)+C16</f>
        <v>2485.3653551999996</v>
      </c>
      <c r="F7" s="16"/>
      <c r="G7" s="18">
        <v>2</v>
      </c>
      <c r="H7" s="40">
        <f>SUM(H16*0.14)+H16</f>
        <v>2316.6929519999999</v>
      </c>
      <c r="I7" s="40">
        <f>SUM(H16*0.11)+H16</f>
        <v>2255.7273479999999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2580.9563303999998</v>
      </c>
      <c r="D8" s="40">
        <f>SUM(C16*0.05)+C16</f>
        <v>2509.2630989999998</v>
      </c>
      <c r="E8" s="40">
        <f>SUM(C16*0.05)+C16</f>
        <v>2509.2630989999998</v>
      </c>
      <c r="F8" s="16"/>
      <c r="G8" s="18">
        <v>2.5</v>
      </c>
      <c r="H8" s="40">
        <f>SUM(H16*0.12)+H16</f>
        <v>2276.0492159999999</v>
      </c>
      <c r="I8" s="40">
        <f>SUM(H16*0.09)+H16</f>
        <v>2215.0836119999994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2628.7518179999997</v>
      </c>
      <c r="D9" s="40">
        <f>SUM(C16*0.07)+C16</f>
        <v>2557.0585865999997</v>
      </c>
      <c r="E9" s="40">
        <f>SUM(C16*0.07)+C16</f>
        <v>2557.0585865999997</v>
      </c>
      <c r="F9" s="16"/>
      <c r="G9" s="18">
        <v>3.17</v>
      </c>
      <c r="H9" s="40">
        <f>SUM(H16*0.11)+H16</f>
        <v>2255.7273479999999</v>
      </c>
      <c r="I9" s="40">
        <f>SUM(H16*0.08)+H16</f>
        <v>2194.7617439999999</v>
      </c>
      <c r="J9" s="40">
        <f>SUM(H16*0.08)+H16</f>
        <v>2194.7617439999999</v>
      </c>
      <c r="K9" s="9"/>
    </row>
    <row r="10" spans="1:11" ht="15.75" x14ac:dyDescent="0.25">
      <c r="A10" s="1"/>
      <c r="B10" s="17">
        <v>0.65</v>
      </c>
      <c r="C10" s="40">
        <f>SUM(C16*0.12)+C16</f>
        <v>2676.5473055999996</v>
      </c>
      <c r="D10" s="40">
        <f>SUM(C16*0.09)+C16</f>
        <v>2604.8540742</v>
      </c>
      <c r="E10" s="40" t="s">
        <v>2</v>
      </c>
      <c r="F10" s="16"/>
      <c r="G10" s="18" t="s">
        <v>4</v>
      </c>
      <c r="H10" s="40">
        <f>SUM(H16*0.1)+H16</f>
        <v>2235.4054799999999</v>
      </c>
      <c r="I10" s="40">
        <f>SUM(H16*0.07+H16)</f>
        <v>2174.4398759999999</v>
      </c>
      <c r="J10" s="40">
        <f>SUM(H16*0.07)+H16</f>
        <v>2174.4398759999999</v>
      </c>
      <c r="K10" s="9"/>
    </row>
    <row r="11" spans="1:11" ht="15.75" x14ac:dyDescent="0.25">
      <c r="A11" s="1"/>
      <c r="B11" s="17">
        <v>24</v>
      </c>
      <c r="C11" s="40">
        <f>SUM(C16*0.16)+C16</f>
        <v>2772.1382807999998</v>
      </c>
      <c r="D11" s="40">
        <f>SUM(C16*0.13)+C16</f>
        <v>2700.4450493999998</v>
      </c>
      <c r="E11" s="40" t="s">
        <v>2</v>
      </c>
      <c r="F11" s="16"/>
      <c r="G11" s="18">
        <v>6.35</v>
      </c>
      <c r="H11" s="40">
        <f>SUM(H16*0.11)+H16</f>
        <v>2255.7273479999999</v>
      </c>
      <c r="I11" s="40">
        <f>SUM(H16*0.08)+H16</f>
        <v>2194.7617439999999</v>
      </c>
      <c r="J11" s="40">
        <f>SUM(H16*0.08)+H16</f>
        <v>2194.7617439999999</v>
      </c>
      <c r="K11" s="9"/>
    </row>
    <row r="12" spans="1:11" ht="15.75" x14ac:dyDescent="0.25">
      <c r="A12" s="1"/>
      <c r="B12" s="17">
        <v>26</v>
      </c>
      <c r="C12" s="40">
        <f>SUM(C16*0.2)+C16</f>
        <v>2867.7292559999996</v>
      </c>
      <c r="D12" s="40">
        <f>SUM(C16*0.15)+C16</f>
        <v>2748.2405369999997</v>
      </c>
      <c r="E12" s="40" t="s">
        <v>2</v>
      </c>
      <c r="F12" s="16"/>
      <c r="G12" s="18">
        <v>8</v>
      </c>
      <c r="H12" s="40">
        <f>SUM(H16*0.11)+H16</f>
        <v>2255.7273479999999</v>
      </c>
      <c r="I12" s="40">
        <f>SUM(H16*0.08)+H16</f>
        <v>2194.7617439999999</v>
      </c>
      <c r="J12" s="40">
        <f>SUM(H16*0.08)+H16</f>
        <v>2194.7617439999999</v>
      </c>
      <c r="K12" s="9"/>
    </row>
    <row r="13" spans="1:11" ht="15.75" x14ac:dyDescent="0.25">
      <c r="A13" s="1"/>
      <c r="B13" s="17">
        <v>27</v>
      </c>
      <c r="C13" s="40">
        <f>SUM(C16*0.26)+C16</f>
        <v>3011.1157187999997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2276.0492159999999</v>
      </c>
      <c r="I13" s="40">
        <f>SUM(H16*0.09)+H16</f>
        <v>2215.0836119999994</v>
      </c>
      <c r="J13" s="40">
        <f>SUM(H16*0.1)+H16</f>
        <v>2235.4054799999999</v>
      </c>
      <c r="K13" s="9"/>
    </row>
    <row r="14" spans="1:11" ht="15.75" x14ac:dyDescent="0.25">
      <c r="A14" s="1"/>
      <c r="B14" s="17">
        <v>30</v>
      </c>
      <c r="C14" s="40">
        <f>SUM(C16*0.32)+C16</f>
        <v>3154.5021815999999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2276.0492159999999</v>
      </c>
      <c r="I14" s="40">
        <f>SUM(H16*0.09)+H16</f>
        <v>2215.0836119999994</v>
      </c>
      <c r="J14" s="40">
        <f>SUM(H16*0.1)+H16</f>
        <v>2235.4054799999999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SUM(INICIO!K95)</f>
        <v>2389.7743799999998</v>
      </c>
      <c r="D16" s="43"/>
      <c r="E16" s="43"/>
      <c r="F16" s="10"/>
      <c r="G16" s="26" t="s">
        <v>5</v>
      </c>
      <c r="H16" s="42">
        <f>SUM(INICIO!Q95)</f>
        <v>2032.1867999999997</v>
      </c>
      <c r="I16" s="43"/>
      <c r="J16" s="43" t="s">
        <v>84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2414.2379184000001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2391.8838636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2414.2379184000001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1.7069817</v>
      </c>
      <c r="D24" s="22">
        <f>SUM(C34*0.04)+C34</f>
        <v>1.6591224</v>
      </c>
      <c r="E24" s="22">
        <f>SUM(C34*0.04)+C34</f>
        <v>1.6591224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1.7069817</v>
      </c>
      <c r="D25" s="22">
        <f>SUM(C34*0.04)+C34</f>
        <v>1.6591224</v>
      </c>
      <c r="E25" s="22">
        <f>SUM(C34*0.04)+C34</f>
        <v>1.6591224</v>
      </c>
      <c r="F25" s="16"/>
      <c r="G25" s="18">
        <v>2</v>
      </c>
      <c r="H25" s="22">
        <f>SUM(H34*0.14)+H34</f>
        <v>1.5465239999999998</v>
      </c>
      <c r="I25" s="22">
        <f>SUM(H34*0.11)+H34</f>
        <v>1.5058259999999999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1.7229348</v>
      </c>
      <c r="D26" s="22">
        <f>SUM(C34*0.05)+C34</f>
        <v>1.6750754999999999</v>
      </c>
      <c r="E26" s="22">
        <f>SUM(C34*0.05)+C34</f>
        <v>1.6750754999999999</v>
      </c>
      <c r="F26" s="16"/>
      <c r="G26" s="18">
        <v>2.5</v>
      </c>
      <c r="H26" s="22">
        <f>SUM(H34*0.12)+H34</f>
        <v>1.5193919999999999</v>
      </c>
      <c r="I26" s="22">
        <f>SUM(H34*0.09)+H34</f>
        <v>1.4786939999999997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1.7548410000000001</v>
      </c>
      <c r="D27" s="22">
        <f>SUM(C34*0.07)+C34</f>
        <v>1.7069817</v>
      </c>
      <c r="E27" s="22">
        <f>SUM(C34*0.07)+C34</f>
        <v>1.7069817</v>
      </c>
      <c r="F27" s="16"/>
      <c r="G27" s="18">
        <v>3.17</v>
      </c>
      <c r="H27" s="22">
        <f>SUM(H34*0.11)+H34</f>
        <v>1.5058259999999999</v>
      </c>
      <c r="I27" s="22">
        <f>SUM(H34*0.08)+H34</f>
        <v>1.4651279999999998</v>
      </c>
      <c r="J27" s="22">
        <f>SUM(H34*0.08)+H34</f>
        <v>1.4651279999999998</v>
      </c>
      <c r="K27" s="9"/>
    </row>
    <row r="28" spans="1:11" s="1" customFormat="1" ht="15.75" x14ac:dyDescent="0.25">
      <c r="B28" s="17">
        <v>0.65</v>
      </c>
      <c r="C28" s="22">
        <f>SUM(C34*0.12)+C34</f>
        <v>1.7867472</v>
      </c>
      <c r="D28" s="22">
        <f>SUM(C34*0.09)+C34</f>
        <v>1.7388878999999999</v>
      </c>
      <c r="E28" s="23" t="s">
        <v>2</v>
      </c>
      <c r="F28" s="16"/>
      <c r="G28" s="18" t="s">
        <v>4</v>
      </c>
      <c r="H28" s="22">
        <f>SUM(H34*0.1)+H34</f>
        <v>1.4922599999999997</v>
      </c>
      <c r="I28" s="22">
        <f>SUM(H34*0.07+H34)</f>
        <v>1.4515619999999998</v>
      </c>
      <c r="J28" s="22">
        <f>SUM(H34*0.07)+H34</f>
        <v>1.4515619999999998</v>
      </c>
      <c r="K28" s="9"/>
    </row>
    <row r="29" spans="1:11" s="1" customFormat="1" ht="15.75" x14ac:dyDescent="0.25">
      <c r="B29" s="17">
        <v>24</v>
      </c>
      <c r="C29" s="22">
        <f>SUM(C34*0.16)+C34</f>
        <v>1.8505596</v>
      </c>
      <c r="D29" s="22">
        <f>SUM(C34*0.13)+C34</f>
        <v>1.8027002999999999</v>
      </c>
      <c r="E29" s="23" t="s">
        <v>2</v>
      </c>
      <c r="F29" s="16"/>
      <c r="G29" s="18">
        <v>6.35</v>
      </c>
      <c r="H29" s="22">
        <f>SUM(H34*0.11)+H34</f>
        <v>1.5058259999999999</v>
      </c>
      <c r="I29" s="22">
        <f>SUM(H34*0.08)+H34</f>
        <v>1.4651279999999998</v>
      </c>
      <c r="J29" s="22">
        <f>SUM(H34*0.08)+H34</f>
        <v>1.4651279999999998</v>
      </c>
      <c r="K29" s="9"/>
    </row>
    <row r="30" spans="1:11" s="1" customFormat="1" ht="15.75" x14ac:dyDescent="0.25">
      <c r="B30" s="17">
        <v>26</v>
      </c>
      <c r="C30" s="22">
        <f>SUM(C34*0.2)+C34</f>
        <v>1.914372</v>
      </c>
      <c r="D30" s="22">
        <f>SUM(C34*0.15)+C34</f>
        <v>1.8346065</v>
      </c>
      <c r="E30" s="23" t="s">
        <v>2</v>
      </c>
      <c r="F30" s="16"/>
      <c r="G30" s="18">
        <v>8</v>
      </c>
      <c r="H30" s="22">
        <f>SUM(H34*0.11)+H34</f>
        <v>1.5058259999999999</v>
      </c>
      <c r="I30" s="22">
        <f>SUM(H34*0.08)+H34</f>
        <v>1.4651279999999998</v>
      </c>
      <c r="J30" s="22">
        <f>SUM(H34*0.08)+H34</f>
        <v>1.4651279999999998</v>
      </c>
      <c r="K30" s="9"/>
    </row>
    <row r="31" spans="1:11" s="1" customFormat="1" ht="15.75" x14ac:dyDescent="0.25">
      <c r="B31" s="17">
        <v>27</v>
      </c>
      <c r="C31" s="22">
        <f>SUM(C34*0.26)+C34</f>
        <v>2.0100905999999998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1.5193919999999999</v>
      </c>
      <c r="I31" s="22">
        <f>SUM(H34*0.09)+H34</f>
        <v>1.4786939999999997</v>
      </c>
      <c r="J31" s="22">
        <f>SUM(H34*0.1)+H34</f>
        <v>1.4922599999999997</v>
      </c>
      <c r="K31" s="9"/>
    </row>
    <row r="32" spans="1:11" s="1" customFormat="1" ht="15.75" x14ac:dyDescent="0.25">
      <c r="B32" s="17">
        <v>30</v>
      </c>
      <c r="C32" s="22">
        <f>SUM(C34*0.32)+C34</f>
        <v>2.1058091999999999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1.5193919999999999</v>
      </c>
      <c r="I32" s="22">
        <f>SUM(H34*0.09)+H34</f>
        <v>1.4786939999999997</v>
      </c>
      <c r="J32" s="22">
        <f>SUM(H34*0.1)+H34</f>
        <v>1.4922599999999997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SUM(INICIO!J95)</f>
        <v>1.59531</v>
      </c>
      <c r="D34" s="10"/>
      <c r="E34" s="10"/>
      <c r="F34" s="10"/>
      <c r="G34" s="26" t="s">
        <v>5</v>
      </c>
      <c r="H34" s="27">
        <f>SUM(INICIO!P95)</f>
        <v>1.3565999999999998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1.6116407999999998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1.5967181999999998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1.6116407999999998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PROPER(INICIO!D96)</f>
        <v xml:space="preserve"> 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2536.2694923999998</v>
      </c>
      <c r="D6" s="40">
        <f>SUM(C16*0.04)+C16</f>
        <v>2465.1591328</v>
      </c>
      <c r="E6" s="40">
        <f>SUM(C16*0.04)+C16</f>
        <v>2465.1591328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2536.2694923999998</v>
      </c>
      <c r="D7" s="40">
        <f>SUM(C16*0.04)+C16</f>
        <v>2465.1591328</v>
      </c>
      <c r="E7" s="40">
        <f>SUM(C16*0.04)+C16</f>
        <v>2465.1591328</v>
      </c>
      <c r="F7" s="16"/>
      <c r="G7" s="18">
        <v>2</v>
      </c>
      <c r="H7" s="40">
        <f>SUM(H16*0.14)+H16</f>
        <v>2316.6929519999999</v>
      </c>
      <c r="I7" s="40">
        <f>SUM(H16*0.11)+H16</f>
        <v>2255.7273479999999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2559.9729456</v>
      </c>
      <c r="D8" s="40">
        <f>SUM(C16*0.05)+C16</f>
        <v>2488.8625859999997</v>
      </c>
      <c r="E8" s="40">
        <f>SUM(C16*0.05)+C16</f>
        <v>2488.8625859999997</v>
      </c>
      <c r="F8" s="16"/>
      <c r="G8" s="18">
        <v>2.5</v>
      </c>
      <c r="H8" s="40">
        <f>SUM(H16*0.12)+H16</f>
        <v>2276.0492159999999</v>
      </c>
      <c r="I8" s="40">
        <f>SUM(H16*0.09)+H16</f>
        <v>2215.0836119999994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2607.379852</v>
      </c>
      <c r="D9" s="40">
        <f>SUM(C16*0.07)+C16</f>
        <v>2536.2694923999998</v>
      </c>
      <c r="E9" s="40">
        <f>SUM(C16*0.07)+C16</f>
        <v>2536.2694923999998</v>
      </c>
      <c r="F9" s="16"/>
      <c r="G9" s="18">
        <v>3.17</v>
      </c>
      <c r="H9" s="40">
        <f>SUM(H16*0.11)+H16</f>
        <v>2255.7273479999999</v>
      </c>
      <c r="I9" s="40">
        <f>SUM(H16*0.08)+H16</f>
        <v>2194.7617439999999</v>
      </c>
      <c r="J9" s="40">
        <f>SUM(H16*0.08)+H16</f>
        <v>2194.7617439999999</v>
      </c>
      <c r="K9" s="9"/>
    </row>
    <row r="10" spans="1:11" ht="15.75" x14ac:dyDescent="0.25">
      <c r="A10" s="1"/>
      <c r="B10" s="17">
        <v>0.65</v>
      </c>
      <c r="C10" s="40">
        <f>SUM(C16*0.12)+C16</f>
        <v>2654.7867584000001</v>
      </c>
      <c r="D10" s="40">
        <f>SUM(C16*0.09)+C16</f>
        <v>2583.6763987999998</v>
      </c>
      <c r="E10" s="40" t="s">
        <v>2</v>
      </c>
      <c r="F10" s="16"/>
      <c r="G10" s="18" t="s">
        <v>4</v>
      </c>
      <c r="H10" s="40">
        <f>SUM(H16*0.1)+H16</f>
        <v>2235.4054799999999</v>
      </c>
      <c r="I10" s="40">
        <f>SUM(H16*0.07+H16)</f>
        <v>2174.4398759999999</v>
      </c>
      <c r="J10" s="40">
        <f>SUM(H16*0.07)+H16</f>
        <v>2174.4398759999999</v>
      </c>
      <c r="K10" s="9"/>
    </row>
    <row r="11" spans="1:11" ht="15.75" x14ac:dyDescent="0.25">
      <c r="A11" s="1"/>
      <c r="B11" s="17">
        <v>24</v>
      </c>
      <c r="C11" s="40">
        <f>SUM(C16*0.16)+C16</f>
        <v>2749.6005711999996</v>
      </c>
      <c r="D11" s="40">
        <f>SUM(C16*0.13)+C16</f>
        <v>2678.4902115999998</v>
      </c>
      <c r="E11" s="40" t="s">
        <v>2</v>
      </c>
      <c r="F11" s="16"/>
      <c r="G11" s="18">
        <v>6.35</v>
      </c>
      <c r="H11" s="40">
        <f>SUM(H16*0.11)+H16</f>
        <v>2255.7273479999999</v>
      </c>
      <c r="I11" s="40">
        <f>SUM(H16*0.08)+H16</f>
        <v>2194.7617439999999</v>
      </c>
      <c r="J11" s="40">
        <f>SUM(H16*0.08)+H16</f>
        <v>2194.7617439999999</v>
      </c>
      <c r="K11" s="9"/>
    </row>
    <row r="12" spans="1:11" ht="15.75" x14ac:dyDescent="0.25">
      <c r="A12" s="1"/>
      <c r="B12" s="17">
        <v>26</v>
      </c>
      <c r="C12" s="40">
        <f>SUM(C16*0.2)+C16</f>
        <v>2844.4143839999997</v>
      </c>
      <c r="D12" s="40">
        <f>SUM(C16*0.15)+C16</f>
        <v>2725.8971179999999</v>
      </c>
      <c r="E12" s="40" t="s">
        <v>2</v>
      </c>
      <c r="F12" s="16"/>
      <c r="G12" s="18">
        <v>8</v>
      </c>
      <c r="H12" s="40">
        <f>SUM(H16*0.11)+H16</f>
        <v>2255.7273479999999</v>
      </c>
      <c r="I12" s="40">
        <f>SUM(H16*0.08)+H16</f>
        <v>2194.7617439999999</v>
      </c>
      <c r="J12" s="40">
        <f>SUM(H16*0.08)+H16</f>
        <v>2194.7617439999999</v>
      </c>
      <c r="K12" s="9"/>
    </row>
    <row r="13" spans="1:11" ht="15.75" x14ac:dyDescent="0.25">
      <c r="A13" s="1"/>
      <c r="B13" s="17">
        <v>27</v>
      </c>
      <c r="C13" s="40">
        <f>SUM(C16*0.26)+C16</f>
        <v>2986.6351031999998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2276.0492159999999</v>
      </c>
      <c r="I13" s="40">
        <f>SUM(H16*0.09)+H16</f>
        <v>2215.0836119999994</v>
      </c>
      <c r="J13" s="40">
        <f>SUM(H16*0.1)+H16</f>
        <v>2235.4054799999999</v>
      </c>
      <c r="K13" s="9"/>
    </row>
    <row r="14" spans="1:11" ht="15.75" x14ac:dyDescent="0.25">
      <c r="A14" s="1"/>
      <c r="B14" s="17">
        <v>30</v>
      </c>
      <c r="C14" s="40">
        <f>SUM(C16*0.32)+C16</f>
        <v>3128.8558223999999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2276.0492159999999</v>
      </c>
      <c r="I14" s="40">
        <f>SUM(H16*0.09)+H16</f>
        <v>2215.0836119999994</v>
      </c>
      <c r="J14" s="40">
        <f>SUM(H16*0.1)+H16</f>
        <v>2235.4054799999999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SUM(INICIO!K96)</f>
        <v>2370.3453199999999</v>
      </c>
      <c r="D16" s="43"/>
      <c r="E16" s="43"/>
      <c r="F16" s="10"/>
      <c r="G16" s="26" t="s">
        <v>5</v>
      </c>
      <c r="H16" s="42">
        <f>SUM(INICIO!Q96)</f>
        <v>2032.1867999999997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2414.2379184000001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2391.8838636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2414.2379184000001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1.6931037999999998</v>
      </c>
      <c r="D24" s="22">
        <f>SUM(C34*0.04)+C34</f>
        <v>1.6456335999999998</v>
      </c>
      <c r="E24" s="22">
        <f>SUM(C34*0.04)+C34</f>
        <v>1.6456335999999998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1.6931037999999998</v>
      </c>
      <c r="D25" s="22">
        <f>SUM(C34*0.04)+C34</f>
        <v>1.6456335999999998</v>
      </c>
      <c r="E25" s="22">
        <f>SUM(C34*0.04)+C34</f>
        <v>1.6456335999999998</v>
      </c>
      <c r="F25" s="16"/>
      <c r="G25" s="18">
        <v>2</v>
      </c>
      <c r="H25" s="22">
        <f>SUM(H34*0.14)+H34</f>
        <v>1.5465239999999998</v>
      </c>
      <c r="I25" s="22">
        <f>SUM(H34*0.11)+H34</f>
        <v>1.5058259999999999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1.7089271999999998</v>
      </c>
      <c r="D26" s="22">
        <f>SUM(C34*0.05)+C34</f>
        <v>1.661457</v>
      </c>
      <c r="E26" s="22">
        <f>SUM(C34*0.05)+C34</f>
        <v>1.661457</v>
      </c>
      <c r="F26" s="16"/>
      <c r="G26" s="18">
        <v>2.5</v>
      </c>
      <c r="H26" s="22">
        <f>SUM(H34*0.12)+H34</f>
        <v>1.5193919999999999</v>
      </c>
      <c r="I26" s="22">
        <f>SUM(H34*0.09)+H34</f>
        <v>1.4786939999999997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1.7405739999999998</v>
      </c>
      <c r="D27" s="22">
        <f>SUM(C34*0.07)+C34</f>
        <v>1.6931037999999998</v>
      </c>
      <c r="E27" s="22">
        <f>SUM(C34*0.07)+C34</f>
        <v>1.6931037999999998</v>
      </c>
      <c r="F27" s="16"/>
      <c r="G27" s="18">
        <v>3.17</v>
      </c>
      <c r="H27" s="22">
        <f>SUM(H34*0.11)+H34</f>
        <v>1.5058259999999999</v>
      </c>
      <c r="I27" s="22">
        <f>SUM(H34*0.08)+H34</f>
        <v>1.4651279999999998</v>
      </c>
      <c r="J27" s="22">
        <f>SUM(H34*0.08)+H34</f>
        <v>1.4651279999999998</v>
      </c>
      <c r="K27" s="9"/>
    </row>
    <row r="28" spans="1:11" s="1" customFormat="1" ht="15.75" x14ac:dyDescent="0.25">
      <c r="B28" s="17">
        <v>0.65</v>
      </c>
      <c r="C28" s="22">
        <f>SUM(C34*0.12)+C34</f>
        <v>1.7722207999999999</v>
      </c>
      <c r="D28" s="22">
        <f>SUM(C34*0.09)+C34</f>
        <v>1.7247505999999999</v>
      </c>
      <c r="E28" s="23" t="s">
        <v>2</v>
      </c>
      <c r="F28" s="16"/>
      <c r="G28" s="18" t="s">
        <v>4</v>
      </c>
      <c r="H28" s="22">
        <f>SUM(H34*0.1)+H34</f>
        <v>1.4922599999999997</v>
      </c>
      <c r="I28" s="22">
        <f>SUM(H34*0.07+H34)</f>
        <v>1.4515619999999998</v>
      </c>
      <c r="J28" s="22">
        <f>SUM(H34*0.07)+H34</f>
        <v>1.4515619999999998</v>
      </c>
      <c r="K28" s="9"/>
    </row>
    <row r="29" spans="1:11" s="1" customFormat="1" ht="15.75" x14ac:dyDescent="0.25">
      <c r="B29" s="17">
        <v>24</v>
      </c>
      <c r="C29" s="22">
        <f>SUM(C34*0.16)+C34</f>
        <v>1.8355143999999999</v>
      </c>
      <c r="D29" s="22">
        <f>SUM(C34*0.13)+C34</f>
        <v>1.7880441999999999</v>
      </c>
      <c r="E29" s="23" t="s">
        <v>2</v>
      </c>
      <c r="F29" s="16"/>
      <c r="G29" s="18">
        <v>6.35</v>
      </c>
      <c r="H29" s="22">
        <f>SUM(H34*0.11)+H34</f>
        <v>1.5058259999999999</v>
      </c>
      <c r="I29" s="22">
        <f>SUM(H34*0.08)+H34</f>
        <v>1.4651279999999998</v>
      </c>
      <c r="J29" s="22">
        <f>SUM(H34*0.08)+H34</f>
        <v>1.4651279999999998</v>
      </c>
      <c r="K29" s="9"/>
    </row>
    <row r="30" spans="1:11" s="1" customFormat="1" ht="15.75" x14ac:dyDescent="0.25">
      <c r="B30" s="17">
        <v>26</v>
      </c>
      <c r="C30" s="22">
        <f>SUM(C34*0.2)+C34</f>
        <v>1.8988079999999998</v>
      </c>
      <c r="D30" s="22">
        <f>SUM(C34*0.15)+C34</f>
        <v>1.8196909999999997</v>
      </c>
      <c r="E30" s="23" t="s">
        <v>2</v>
      </c>
      <c r="F30" s="16"/>
      <c r="G30" s="18">
        <v>8</v>
      </c>
      <c r="H30" s="22">
        <f>SUM(H34*0.11)+H34</f>
        <v>1.5058259999999999</v>
      </c>
      <c r="I30" s="22">
        <f>SUM(H34*0.08)+H34</f>
        <v>1.4651279999999998</v>
      </c>
      <c r="J30" s="22">
        <f>SUM(H34*0.08)+H34</f>
        <v>1.4651279999999998</v>
      </c>
      <c r="K30" s="9"/>
    </row>
    <row r="31" spans="1:11" s="1" customFormat="1" ht="15.75" x14ac:dyDescent="0.25">
      <c r="B31" s="17">
        <v>27</v>
      </c>
      <c r="C31" s="22">
        <f>SUM(C34*0.26)+C34</f>
        <v>1.9937483999999999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1.5193919999999999</v>
      </c>
      <c r="I31" s="22">
        <f>SUM(H34*0.09)+H34</f>
        <v>1.4786939999999997</v>
      </c>
      <c r="J31" s="22">
        <f>SUM(H34*0.1)+H34</f>
        <v>1.4922599999999997</v>
      </c>
      <c r="K31" s="9"/>
    </row>
    <row r="32" spans="1:11" s="1" customFormat="1" ht="15.75" x14ac:dyDescent="0.25">
      <c r="B32" s="17">
        <v>30</v>
      </c>
      <c r="C32" s="22">
        <f>SUM(C34*0.32)+C34</f>
        <v>2.0886887999999999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1.5193919999999999</v>
      </c>
      <c r="I32" s="22">
        <f>SUM(H34*0.09)+H34</f>
        <v>1.4786939999999997</v>
      </c>
      <c r="J32" s="22">
        <f>SUM(H34*0.1)+H34</f>
        <v>1.4922599999999997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SUM(INICIO!J96)</f>
        <v>1.5823399999999999</v>
      </c>
      <c r="D34" s="10"/>
      <c r="E34" s="10"/>
      <c r="F34" s="10"/>
      <c r="G34" s="26" t="s">
        <v>5</v>
      </c>
      <c r="H34" s="27">
        <f>SUM(INICIO!P96)</f>
        <v>1.3565999999999998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1.6116407999999998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1.5967181999999998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1.6116407999999998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PROPER(INICIO!D97)</f>
        <v>All Gasquet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SUM(INICIO!K97)</f>
        <v>2098.3384799999999</v>
      </c>
      <c r="D16" s="43"/>
      <c r="E16" s="43"/>
      <c r="F16" s="10"/>
      <c r="G16" s="26" t="s">
        <v>5</v>
      </c>
      <c r="H16" s="42">
        <f>SUM(INICIO!Q97)</f>
        <v>1793.1059999999998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 t="s">
        <v>237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SUM(INICIO!J97)</f>
        <v>1.40076</v>
      </c>
      <c r="D34" s="10"/>
      <c r="E34" s="10"/>
      <c r="F34" s="10"/>
      <c r="G34" s="26" t="s">
        <v>5</v>
      </c>
      <c r="H34" s="27">
        <f>SUM(INICIO!P97)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40"/>
  <sheetViews>
    <sheetView showGridLines="0" topLeftCell="A4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PROPER(INICIO!D98)</f>
        <v>Imagen/Shulman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2536.2694923999998</v>
      </c>
      <c r="D6" s="40">
        <f>SUM(C16*0.04)+C16</f>
        <v>2465.1591328</v>
      </c>
      <c r="E6" s="40">
        <f>SUM(C16*0.04)+C16</f>
        <v>2465.1591328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2536.2694923999998</v>
      </c>
      <c r="D7" s="40">
        <f>SUM(C16*0.04)+C16</f>
        <v>2465.1591328</v>
      </c>
      <c r="E7" s="40">
        <f>SUM(C16*0.04)+C16</f>
        <v>2465.1591328</v>
      </c>
      <c r="F7" s="16"/>
      <c r="G7" s="18">
        <v>2</v>
      </c>
      <c r="H7" s="40">
        <f>SUM(H16*0.14)+H16</f>
        <v>2355.628968</v>
      </c>
      <c r="I7" s="40">
        <f>SUM(H16*0.11)+H16</f>
        <v>2293.6387319999999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2559.9729456</v>
      </c>
      <c r="D8" s="40">
        <f>SUM(C16*0.05)+C16</f>
        <v>2488.8625859999997</v>
      </c>
      <c r="E8" s="40">
        <f>SUM(C16*0.05)+C16</f>
        <v>2488.8625859999997</v>
      </c>
      <c r="F8" s="16"/>
      <c r="G8" s="18">
        <v>2.5</v>
      </c>
      <c r="H8" s="40">
        <f>SUM(H16*0.12)+H16</f>
        <v>2314.3021439999998</v>
      </c>
      <c r="I8" s="40">
        <f>SUM(H16*0.09)+H16</f>
        <v>2252.3119079999997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2607.379852</v>
      </c>
      <c r="D9" s="40">
        <f>SUM(C16*0.07)+C16</f>
        <v>2536.2694923999998</v>
      </c>
      <c r="E9" s="40">
        <f>SUM(C16*0.07)+C16</f>
        <v>2536.2694923999998</v>
      </c>
      <c r="F9" s="16"/>
      <c r="G9" s="18">
        <v>3.17</v>
      </c>
      <c r="H9" s="40">
        <f>SUM(H16*0.11)+H16</f>
        <v>2293.6387319999999</v>
      </c>
      <c r="I9" s="40">
        <f>SUM(H16*0.08)+H16</f>
        <v>2231.6484959999998</v>
      </c>
      <c r="J9" s="40">
        <f>SUM(H16*0.08)+H16</f>
        <v>2231.6484959999998</v>
      </c>
      <c r="K9" s="9"/>
    </row>
    <row r="10" spans="1:11" ht="15.75" x14ac:dyDescent="0.25">
      <c r="A10" s="1"/>
      <c r="B10" s="17">
        <v>0.65</v>
      </c>
      <c r="C10" s="40">
        <f>SUM(C16*0.12)+C16</f>
        <v>2654.7867584000001</v>
      </c>
      <c r="D10" s="40">
        <f>SUM(C16*0.09)+C16</f>
        <v>2583.6763987999998</v>
      </c>
      <c r="E10" s="40" t="s">
        <v>2</v>
      </c>
      <c r="F10" s="16"/>
      <c r="G10" s="18" t="s">
        <v>4</v>
      </c>
      <c r="H10" s="40">
        <f>SUM(H16*0.1)+H16</f>
        <v>2272.97532</v>
      </c>
      <c r="I10" s="40">
        <f>SUM(H16*0.07+H16)</f>
        <v>2210.9850839999999</v>
      </c>
      <c r="J10" s="40">
        <f>SUM(H16*0.07)+H16</f>
        <v>2210.9850839999999</v>
      </c>
      <c r="K10" s="9"/>
    </row>
    <row r="11" spans="1:11" ht="15.75" x14ac:dyDescent="0.25">
      <c r="A11" s="1"/>
      <c r="B11" s="17">
        <v>24</v>
      </c>
      <c r="C11" s="40">
        <f>SUM(C16*0.16)+C16</f>
        <v>2749.6005711999996</v>
      </c>
      <c r="D11" s="40">
        <f>SUM(C16*0.13)+C16</f>
        <v>2678.4902115999998</v>
      </c>
      <c r="E11" s="40" t="s">
        <v>2</v>
      </c>
      <c r="F11" s="16"/>
      <c r="G11" s="18">
        <v>6.35</v>
      </c>
      <c r="H11" s="40">
        <f>SUM(H16*0.11)+H16</f>
        <v>2293.6387319999999</v>
      </c>
      <c r="I11" s="40">
        <f>SUM(H16*0.08)+H16</f>
        <v>2231.6484959999998</v>
      </c>
      <c r="J11" s="40">
        <f>SUM(H16*0.08)+H16</f>
        <v>2231.6484959999998</v>
      </c>
      <c r="K11" s="9"/>
    </row>
    <row r="12" spans="1:11" ht="15.75" x14ac:dyDescent="0.25">
      <c r="A12" s="1"/>
      <c r="B12" s="17">
        <v>26</v>
      </c>
      <c r="C12" s="40">
        <f>SUM(C16*0.2)+C16</f>
        <v>2844.4143839999997</v>
      </c>
      <c r="D12" s="40">
        <f>SUM(C16*0.15)+C16</f>
        <v>2725.8971179999999</v>
      </c>
      <c r="E12" s="40" t="s">
        <v>2</v>
      </c>
      <c r="F12" s="16"/>
      <c r="G12" s="18">
        <v>8</v>
      </c>
      <c r="H12" s="40">
        <f>SUM(H16*0.11)+H16</f>
        <v>2293.6387319999999</v>
      </c>
      <c r="I12" s="40">
        <f>SUM(H16*0.08)+H16</f>
        <v>2231.6484959999998</v>
      </c>
      <c r="J12" s="40">
        <f>SUM(H16*0.08)+H16</f>
        <v>2231.6484959999998</v>
      </c>
      <c r="K12" s="9"/>
    </row>
    <row r="13" spans="1:11" ht="15.75" x14ac:dyDescent="0.25">
      <c r="A13" s="1"/>
      <c r="B13" s="17">
        <v>27</v>
      </c>
      <c r="C13" s="40">
        <f>SUM(C16*0.26)+C16</f>
        <v>2986.6351031999998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2314.3021439999998</v>
      </c>
      <c r="I13" s="40">
        <f>SUM(H16*0.09)+H16</f>
        <v>2252.3119079999997</v>
      </c>
      <c r="J13" s="40">
        <f>SUM(H16*0.1)+H16</f>
        <v>2272.97532</v>
      </c>
      <c r="K13" s="9"/>
    </row>
    <row r="14" spans="1:11" ht="15.75" x14ac:dyDescent="0.25">
      <c r="A14" s="1"/>
      <c r="B14" s="17">
        <v>30</v>
      </c>
      <c r="C14" s="40">
        <f>SUM(C16*0.32)+C16</f>
        <v>3128.8558223999999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2314.3021439999998</v>
      </c>
      <c r="I14" s="40">
        <f>SUM(H16*0.09)+H16</f>
        <v>2252.3119079999997</v>
      </c>
      <c r="J14" s="40">
        <f>SUM(H16*0.1)+H16</f>
        <v>2272.97532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SUM(INICIO!K98)</f>
        <v>2370.3453199999999</v>
      </c>
      <c r="D16" s="43"/>
      <c r="E16" s="43"/>
      <c r="F16" s="10"/>
      <c r="G16" s="26" t="s">
        <v>5</v>
      </c>
      <c r="H16" s="42">
        <f>SUM(INICIO!Q98)</f>
        <v>2066.3411999999998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2454.8133455999996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2432.0835923999998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2454.8133455999996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1.6931037999999998</v>
      </c>
      <c r="D24" s="22">
        <f>SUM(C34*0.04)+C34</f>
        <v>1.6456335999999998</v>
      </c>
      <c r="E24" s="22">
        <f>SUM(C34*0.04)+C34</f>
        <v>1.6456335999999998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1.6931037999999998</v>
      </c>
      <c r="D25" s="22">
        <f>SUM(C34*0.04)+C34</f>
        <v>1.6456335999999998</v>
      </c>
      <c r="E25" s="22">
        <f>SUM(C34*0.04)+C34</f>
        <v>1.6456335999999998</v>
      </c>
      <c r="F25" s="16"/>
      <c r="G25" s="18">
        <v>2</v>
      </c>
      <c r="H25" s="22">
        <f>SUM(H34*0.14)+H34</f>
        <v>1.572516</v>
      </c>
      <c r="I25" s="22">
        <f>SUM(H34*0.11)+H34</f>
        <v>1.531134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1.7089271999999998</v>
      </c>
      <c r="D26" s="22">
        <f>SUM(C34*0.05)+C34</f>
        <v>1.661457</v>
      </c>
      <c r="E26" s="22">
        <f>SUM(C34*0.05)+C34</f>
        <v>1.661457</v>
      </c>
      <c r="F26" s="16"/>
      <c r="G26" s="18">
        <v>2.5</v>
      </c>
      <c r="H26" s="22">
        <f>SUM(H34*0.12)+H34</f>
        <v>1.5449279999999999</v>
      </c>
      <c r="I26" s="22">
        <f>SUM(H34*0.09)+H34</f>
        <v>1.503546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1.7405739999999998</v>
      </c>
      <c r="D27" s="22">
        <f>SUM(C34*0.07)+C34</f>
        <v>1.6931037999999998</v>
      </c>
      <c r="E27" s="22">
        <f>SUM(C34*0.07)+C34</f>
        <v>1.6931037999999998</v>
      </c>
      <c r="F27" s="16"/>
      <c r="G27" s="18">
        <v>3.17</v>
      </c>
      <c r="H27" s="22">
        <f>SUM(H34*0.11)+H34</f>
        <v>1.531134</v>
      </c>
      <c r="I27" s="22">
        <f>SUM(H34*0.08)+H34</f>
        <v>1.489752</v>
      </c>
      <c r="J27" s="22">
        <f>SUM(H34*0.08)+H34</f>
        <v>1.489752</v>
      </c>
      <c r="K27" s="9"/>
    </row>
    <row r="28" spans="1:11" s="1" customFormat="1" ht="15.75" x14ac:dyDescent="0.25">
      <c r="B28" s="17">
        <v>0.65</v>
      </c>
      <c r="C28" s="22">
        <f>SUM(C34*0.12)+C34</f>
        <v>1.7722207999999999</v>
      </c>
      <c r="D28" s="22">
        <f>SUM(C34*0.09)+C34</f>
        <v>1.7247505999999999</v>
      </c>
      <c r="E28" s="23" t="s">
        <v>2</v>
      </c>
      <c r="F28" s="16"/>
      <c r="G28" s="18" t="s">
        <v>4</v>
      </c>
      <c r="H28" s="22">
        <f>SUM(H34*0.1)+H34</f>
        <v>1.5173399999999999</v>
      </c>
      <c r="I28" s="22">
        <f>SUM(H34*0.07+H34)</f>
        <v>1.4759579999999999</v>
      </c>
      <c r="J28" s="22">
        <f>SUM(H34*0.07)+H34</f>
        <v>1.4759579999999999</v>
      </c>
      <c r="K28" s="9"/>
    </row>
    <row r="29" spans="1:11" s="1" customFormat="1" ht="15.75" x14ac:dyDescent="0.25">
      <c r="B29" s="17">
        <v>24</v>
      </c>
      <c r="C29" s="22">
        <f>SUM(C34*0.16)+C34</f>
        <v>1.8355143999999999</v>
      </c>
      <c r="D29" s="22">
        <f>SUM(C34*0.13)+C34</f>
        <v>1.7880441999999999</v>
      </c>
      <c r="E29" s="23" t="s">
        <v>2</v>
      </c>
      <c r="F29" s="16"/>
      <c r="G29" s="18">
        <v>6.35</v>
      </c>
      <c r="H29" s="22">
        <f>SUM(H34*0.11)+H34</f>
        <v>1.531134</v>
      </c>
      <c r="I29" s="22">
        <f>SUM(H34*0.08)+H34</f>
        <v>1.489752</v>
      </c>
      <c r="J29" s="22">
        <f>SUM(H34*0.08)+H34</f>
        <v>1.489752</v>
      </c>
      <c r="K29" s="9"/>
    </row>
    <row r="30" spans="1:11" s="1" customFormat="1" ht="15.75" x14ac:dyDescent="0.25">
      <c r="B30" s="17">
        <v>26</v>
      </c>
      <c r="C30" s="22">
        <f>SUM(C34*0.2)+C34</f>
        <v>1.8988079999999998</v>
      </c>
      <c r="D30" s="22">
        <f>SUM(C34*0.15)+C34</f>
        <v>1.8196909999999997</v>
      </c>
      <c r="E30" s="23" t="s">
        <v>2</v>
      </c>
      <c r="F30" s="16"/>
      <c r="G30" s="18">
        <v>8</v>
      </c>
      <c r="H30" s="22">
        <f>SUM(H34*0.11)+H34</f>
        <v>1.531134</v>
      </c>
      <c r="I30" s="22">
        <f>SUM(H34*0.08)+H34</f>
        <v>1.489752</v>
      </c>
      <c r="J30" s="22">
        <f>SUM(H34*0.08)+H34</f>
        <v>1.489752</v>
      </c>
      <c r="K30" s="9"/>
    </row>
    <row r="31" spans="1:11" s="1" customFormat="1" ht="15.75" x14ac:dyDescent="0.25">
      <c r="B31" s="17">
        <v>27</v>
      </c>
      <c r="C31" s="22">
        <f>SUM(C34*0.26)+C34</f>
        <v>1.9937483999999999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1.5449279999999999</v>
      </c>
      <c r="I31" s="22">
        <f>SUM(H34*0.09)+H34</f>
        <v>1.503546</v>
      </c>
      <c r="J31" s="22">
        <f>SUM(H34*0.1)+H34</f>
        <v>1.5173399999999999</v>
      </c>
      <c r="K31" s="9"/>
    </row>
    <row r="32" spans="1:11" s="1" customFormat="1" ht="15.75" x14ac:dyDescent="0.25">
      <c r="B32" s="17">
        <v>30</v>
      </c>
      <c r="C32" s="22">
        <f>SUM(C34*0.32)+C34</f>
        <v>2.0886887999999999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1.5449279999999999</v>
      </c>
      <c r="I32" s="22">
        <f>SUM(H34*0.09)+H34</f>
        <v>1.503546</v>
      </c>
      <c r="J32" s="22">
        <f>SUM(H34*0.1)+H34</f>
        <v>1.5173399999999999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SUM(INICIO!J98)</f>
        <v>1.5823399999999999</v>
      </c>
      <c r="D34" s="10"/>
      <c r="E34" s="10"/>
      <c r="F34" s="10"/>
      <c r="G34" s="26" t="s">
        <v>5</v>
      </c>
      <c r="H34" s="27">
        <f>SUM(INICIO!P98)</f>
        <v>1.3794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1.6387271999999999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1.6235537999999998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1.6387271999999999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40"/>
  <sheetViews>
    <sheetView showGridLines="0" workbookViewId="0"/>
  </sheetViews>
  <sheetFormatPr baseColWidth="10" defaultRowHeight="15" x14ac:dyDescent="0.25"/>
  <sheetData>
    <row r="1" spans="1:13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9.5" thickBot="1" x14ac:dyDescent="0.3">
      <c r="A2" s="1"/>
      <c r="B2" s="11" t="s">
        <v>15</v>
      </c>
      <c r="C2" s="1"/>
      <c r="D2" s="272" t="str">
        <f>PROPER(INICIO!D99)</f>
        <v>Ricambi</v>
      </c>
      <c r="E2" s="273"/>
      <c r="F2" s="273"/>
      <c r="G2" s="274"/>
      <c r="H2" s="1"/>
      <c r="I2" s="1"/>
      <c r="J2" s="1"/>
      <c r="K2" s="1"/>
    </row>
    <row r="3" spans="1:13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3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3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3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2063.6088479999999</v>
      </c>
      <c r="I7" s="40">
        <f>SUM(H16*0.11)+H16</f>
        <v>2009.3033519999999</v>
      </c>
      <c r="J7" s="40" t="s">
        <v>2</v>
      </c>
      <c r="K7" s="9"/>
    </row>
    <row r="8" spans="1:13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2027.405184</v>
      </c>
      <c r="I8" s="40">
        <f>SUM(H16*0.09)+H16</f>
        <v>1973.099688</v>
      </c>
      <c r="J8" s="40" t="s">
        <v>2</v>
      </c>
      <c r="K8" s="9"/>
      <c r="M8" t="s">
        <v>52</v>
      </c>
    </row>
    <row r="9" spans="1:13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2009.3033519999999</v>
      </c>
      <c r="I9" s="40">
        <f>SUM(H16*0.08)+H16</f>
        <v>1954.997856</v>
      </c>
      <c r="J9" s="40">
        <f>SUM(H16*0.08)+H16</f>
        <v>1954.997856</v>
      </c>
      <c r="K9" s="9"/>
    </row>
    <row r="10" spans="1:13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1991.2015200000001</v>
      </c>
      <c r="I10" s="40">
        <f>SUM(H16*0.07+H16)</f>
        <v>1936.8960239999999</v>
      </c>
      <c r="J10" s="40">
        <f>SUM(H16*0.07)+H16</f>
        <v>1936.8960239999999</v>
      </c>
      <c r="K10" s="9"/>
    </row>
    <row r="11" spans="1:13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2009.3033519999999</v>
      </c>
      <c r="I11" s="40">
        <f>SUM(H16*0.08)+H16</f>
        <v>1954.997856</v>
      </c>
      <c r="J11" s="40">
        <f>SUM(H16*0.08)+H16</f>
        <v>1954.997856</v>
      </c>
      <c r="K11" s="9"/>
    </row>
    <row r="12" spans="1:13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2009.3033519999999</v>
      </c>
      <c r="I12" s="40">
        <f>SUM(H16*0.08)+H16</f>
        <v>1954.997856</v>
      </c>
      <c r="J12" s="40">
        <f>SUM(H16*0.08)+H16</f>
        <v>1954.997856</v>
      </c>
      <c r="K12" s="9"/>
    </row>
    <row r="13" spans="1:13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2027.405184</v>
      </c>
      <c r="I13" s="40">
        <f>SUM(H16*0.09)+H16</f>
        <v>1973.099688</v>
      </c>
      <c r="J13" s="40">
        <f>SUM(H16*0.1)+H16</f>
        <v>1991.2015200000001</v>
      </c>
      <c r="K13" s="9"/>
    </row>
    <row r="14" spans="1:13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2027.405184</v>
      </c>
      <c r="I14" s="40">
        <f>SUM(H16*0.09)+H16</f>
        <v>1973.099688</v>
      </c>
      <c r="J14" s="40">
        <f>SUM(H16*0.1)+H16</f>
        <v>1991.2015200000001</v>
      </c>
      <c r="K14" s="9"/>
    </row>
    <row r="15" spans="1:13" ht="16.5" thickBot="1" x14ac:dyDescent="0.3">
      <c r="A15" s="1"/>
      <c r="B15" s="10"/>
      <c r="C15" s="10"/>
      <c r="D15" s="10"/>
      <c r="E15" s="10"/>
      <c r="F15" s="10"/>
      <c r="G15" s="10"/>
      <c r="H15" s="43"/>
      <c r="I15" s="43"/>
      <c r="J15" s="43"/>
      <c r="K15" s="9"/>
    </row>
    <row r="16" spans="1:13" ht="16.5" thickBot="1" x14ac:dyDescent="0.3">
      <c r="A16" s="1"/>
      <c r="B16" s="14" t="s">
        <v>5</v>
      </c>
      <c r="C16" s="41">
        <f>SUM(INICIO!K99)</f>
        <v>2098.3384799999999</v>
      </c>
      <c r="D16" s="10"/>
      <c r="E16" s="10"/>
      <c r="F16" s="10"/>
      <c r="G16" s="26" t="s">
        <v>5</v>
      </c>
      <c r="H16" s="42">
        <f>SUM(INICIO!Q99)</f>
        <v>1810.1831999999999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>
        <v>-12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2150.4976416</v>
      </c>
      <c r="F18" s="10"/>
      <c r="G18" s="10"/>
      <c r="H18" s="19"/>
      <c r="I18" s="10" t="s">
        <v>7</v>
      </c>
      <c r="J18" s="10"/>
      <c r="K18" s="9" t="s">
        <v>52</v>
      </c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2130.5856263999999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2150.4976416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1.3775759999999999</v>
      </c>
      <c r="I25" s="22">
        <f>SUM(H34*0.11)+H34</f>
        <v>1.341324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1.3534079999999999</v>
      </c>
      <c r="I26" s="22">
        <f>SUM(H34*0.09)+H34</f>
        <v>1.317156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1.341324</v>
      </c>
      <c r="I27" s="22">
        <f>SUM(H34*0.08)+H34</f>
        <v>1.305072</v>
      </c>
      <c r="J27" s="22">
        <f>SUM(H34*0.08)+H34</f>
        <v>1.305072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1.32924</v>
      </c>
      <c r="I28" s="22">
        <f>SUM(H34*0.07+H34)</f>
        <v>1.2929879999999998</v>
      </c>
      <c r="J28" s="22">
        <f>SUM(H34*0.07)+H34</f>
        <v>1.2929879999999998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1.341324</v>
      </c>
      <c r="I29" s="22">
        <f>SUM(H34*0.08)+H34</f>
        <v>1.305072</v>
      </c>
      <c r="J29" s="22">
        <f>SUM(H34*0.08)+H34</f>
        <v>1.305072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1.341324</v>
      </c>
      <c r="I30" s="22">
        <f>SUM(H34*0.08)+H34</f>
        <v>1.305072</v>
      </c>
      <c r="J30" s="22">
        <f>SUM(H34*0.08)+H34</f>
        <v>1.305072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1.3534079999999999</v>
      </c>
      <c r="I31" s="22">
        <f>SUM(H34*0.09)+H34</f>
        <v>1.317156</v>
      </c>
      <c r="J31" s="22">
        <f>SUM(H34*0.1)+H34</f>
        <v>1.32924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1.3534079999999999</v>
      </c>
      <c r="I32" s="22">
        <f>SUM(H34*0.09)+H34</f>
        <v>1.317156</v>
      </c>
      <c r="J32" s="22">
        <f>SUM(H34*0.1)+H34</f>
        <v>1.32924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SUM(INICIO!J99)</f>
        <v>1.40076</v>
      </c>
      <c r="D34" s="10"/>
      <c r="E34" s="10"/>
      <c r="F34" s="10"/>
      <c r="G34" s="26" t="s">
        <v>5</v>
      </c>
      <c r="H34" s="27">
        <f>SUM(INICIO!P99)</f>
        <v>1.2083999999999999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1.4355792000000001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1.4222867999999997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1.4355792000000001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K40"/>
  <sheetViews>
    <sheetView showGridLines="0" workbookViewId="0">
      <selection activeCell="N15" sqref="N15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PROPER(INICIO!D100)</f>
        <v>Pantecnica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SUM(INICIO!K100)</f>
        <v>2176.0547200000001</v>
      </c>
      <c r="D16" s="43"/>
      <c r="E16" s="43"/>
      <c r="F16" s="10"/>
      <c r="G16" s="26" t="s">
        <v>5</v>
      </c>
      <c r="H16" s="42">
        <f>SUM(INICIO!Q100)</f>
        <v>1861.4147999999998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>
        <v>10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SUM(INICIO!J100)</f>
        <v>1.4526399999999999</v>
      </c>
      <c r="D34" s="10"/>
      <c r="E34" s="10"/>
      <c r="F34" s="10"/>
      <c r="G34" s="26" t="s">
        <v>5</v>
      </c>
      <c r="H34" s="27">
        <f>SUM(INICIO!P100)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PROPER(INICIO!D101)</f>
        <v>Linea De Iluminacion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SUM(INICIO!K101)</f>
        <v>2137.1965999999998</v>
      </c>
      <c r="D16" s="43"/>
      <c r="E16" s="43"/>
      <c r="F16" s="10"/>
      <c r="G16" s="26" t="s">
        <v>5</v>
      </c>
      <c r="H16" s="42">
        <f>SUM(INICIO!Q101)</f>
        <v>1844.3375999999998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 t="s">
        <v>257</v>
      </c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SUM(INICIO!J101)</f>
        <v>1.4266999999999999</v>
      </c>
      <c r="D34" s="10"/>
      <c r="E34" s="10"/>
      <c r="F34" s="10"/>
      <c r="G34" s="26" t="s">
        <v>5</v>
      </c>
      <c r="H34" s="27">
        <f>SUM(INICIO!P101)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PROPER(INICIO!D102)</f>
        <v>Berta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2598.6367749999999</v>
      </c>
      <c r="D6" s="40">
        <f>SUM(C16*0.04)+C16</f>
        <v>2525.7777999999998</v>
      </c>
      <c r="E6" s="40">
        <f>SUM(C16*0.04)+C16</f>
        <v>2525.7777999999998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2598.6367749999999</v>
      </c>
      <c r="D7" s="40">
        <f>SUM(C16*0.04)+C16</f>
        <v>2525.7777999999998</v>
      </c>
      <c r="E7" s="40">
        <f>SUM(C16*0.04)+C16</f>
        <v>2525.7777999999998</v>
      </c>
      <c r="F7" s="16"/>
      <c r="G7" s="18">
        <v>2</v>
      </c>
      <c r="H7" s="40">
        <f>SUM(H16*0.14)+H16</f>
        <v>2316.6929519999999</v>
      </c>
      <c r="I7" s="40">
        <f>SUM(H16*0.11)+H16</f>
        <v>2255.7273479999999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2622.9230999999995</v>
      </c>
      <c r="D8" s="40">
        <f>SUM(C16*0.05)+C16</f>
        <v>2550.0641249999999</v>
      </c>
      <c r="E8" s="40">
        <f>SUM(C16*0.05)+C16</f>
        <v>2550.0641249999999</v>
      </c>
      <c r="F8" s="16"/>
      <c r="G8" s="18">
        <v>2.5</v>
      </c>
      <c r="H8" s="40">
        <f>SUM(H16*0.12)+H16</f>
        <v>2276.0492159999999</v>
      </c>
      <c r="I8" s="40">
        <f>SUM(H16*0.09)+H16</f>
        <v>2215.0836119999994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2671.4957499999996</v>
      </c>
      <c r="D9" s="40">
        <f>SUM(C16*0.07)+C16</f>
        <v>2598.6367749999999</v>
      </c>
      <c r="E9" s="40">
        <f>SUM(C16*0.07)+C16</f>
        <v>2598.6367749999999</v>
      </c>
      <c r="F9" s="16"/>
      <c r="G9" s="18">
        <v>3.17</v>
      </c>
      <c r="H9" s="40">
        <f>SUM(H16*0.11)+H16</f>
        <v>2255.7273479999999</v>
      </c>
      <c r="I9" s="40">
        <f>SUM(H16*0.08)+H16</f>
        <v>2194.7617439999999</v>
      </c>
      <c r="J9" s="40">
        <f>SUM(H16*0.08)+H16</f>
        <v>2194.7617439999999</v>
      </c>
      <c r="K9" s="9"/>
    </row>
    <row r="10" spans="1:11" ht="15.75" x14ac:dyDescent="0.25">
      <c r="A10" s="1"/>
      <c r="B10" s="17">
        <v>0.65</v>
      </c>
      <c r="C10" s="40">
        <f>SUM(C16*0.12)+C16</f>
        <v>2720.0683999999997</v>
      </c>
      <c r="D10" s="40">
        <f>SUM(C16*0.09)+C16</f>
        <v>2647.2094249999996</v>
      </c>
      <c r="E10" s="40" t="s">
        <v>2</v>
      </c>
      <c r="F10" s="16"/>
      <c r="G10" s="18" t="s">
        <v>4</v>
      </c>
      <c r="H10" s="40">
        <f>SUM(H16*0.1)+H16</f>
        <v>2235.4054799999999</v>
      </c>
      <c r="I10" s="40">
        <f>SUM(H16*0.07+H16)</f>
        <v>2174.4398759999999</v>
      </c>
      <c r="J10" s="40">
        <f>SUM(H16*0.07)+H16</f>
        <v>2174.4398759999999</v>
      </c>
      <c r="K10" s="9"/>
    </row>
    <row r="11" spans="1:11" ht="15.75" x14ac:dyDescent="0.25">
      <c r="A11" s="1"/>
      <c r="B11" s="17">
        <v>24</v>
      </c>
      <c r="C11" s="40">
        <f>SUM(C16*0.16)+C16</f>
        <v>2817.2136999999998</v>
      </c>
      <c r="D11" s="40">
        <f>SUM(C16*0.13)+C16</f>
        <v>2744.3547249999997</v>
      </c>
      <c r="E11" s="40" t="s">
        <v>2</v>
      </c>
      <c r="F11" s="16"/>
      <c r="G11" s="18">
        <v>6.35</v>
      </c>
      <c r="H11" s="40">
        <f>SUM(H16*0.11)+H16</f>
        <v>2255.7273479999999</v>
      </c>
      <c r="I11" s="40">
        <f>SUM(H16*0.08)+H16</f>
        <v>2194.7617439999999</v>
      </c>
      <c r="J11" s="40">
        <f>SUM(H16*0.08)+H16</f>
        <v>2194.7617439999999</v>
      </c>
      <c r="K11" s="9"/>
    </row>
    <row r="12" spans="1:11" ht="15.75" x14ac:dyDescent="0.25">
      <c r="A12" s="1"/>
      <c r="B12" s="17">
        <v>26</v>
      </c>
      <c r="C12" s="40">
        <f>SUM(C16*0.2)+C16</f>
        <v>2914.3589999999995</v>
      </c>
      <c r="D12" s="40">
        <f>SUM(C16*0.15)+C16</f>
        <v>2792.9273749999998</v>
      </c>
      <c r="E12" s="40" t="s">
        <v>2</v>
      </c>
      <c r="F12" s="16"/>
      <c r="G12" s="18">
        <v>8</v>
      </c>
      <c r="H12" s="40">
        <f>SUM(H16*0.11)+H16</f>
        <v>2255.7273479999999</v>
      </c>
      <c r="I12" s="40">
        <f>SUM(H16*0.08)+H16</f>
        <v>2194.7617439999999</v>
      </c>
      <c r="J12" s="40">
        <f>SUM(H16*0.08)+H16</f>
        <v>2194.7617439999999</v>
      </c>
      <c r="K12" s="9"/>
    </row>
    <row r="13" spans="1:11" ht="15.75" x14ac:dyDescent="0.25">
      <c r="A13" s="1"/>
      <c r="B13" s="17">
        <v>27</v>
      </c>
      <c r="C13" s="40">
        <f>SUM(C16*0.26)+C16</f>
        <v>3060.0769499999997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2276.0492159999999</v>
      </c>
      <c r="I13" s="40">
        <f>SUM(H16*0.09)+H16</f>
        <v>2215.0836119999994</v>
      </c>
      <c r="J13" s="40">
        <f>SUM(H16*0.1)+H16</f>
        <v>2235.4054799999999</v>
      </c>
      <c r="K13" s="9"/>
    </row>
    <row r="14" spans="1:11" ht="15.75" x14ac:dyDescent="0.25">
      <c r="A14" s="1"/>
      <c r="B14" s="17">
        <v>30</v>
      </c>
      <c r="C14" s="40">
        <f>SUM(C16*0.32)+C16</f>
        <v>3205.7948999999999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2276.0492159999999</v>
      </c>
      <c r="I14" s="40">
        <f>SUM(H16*0.09)+H16</f>
        <v>2215.0836119999994</v>
      </c>
      <c r="J14" s="40">
        <f>SUM(H16*0.1)+H16</f>
        <v>2235.4054799999999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SUM(INICIO!K102)</f>
        <v>2428.6324999999997</v>
      </c>
      <c r="D16" s="43"/>
      <c r="E16" s="43"/>
      <c r="F16" s="10"/>
      <c r="G16" s="26" t="s">
        <v>5</v>
      </c>
      <c r="H16" s="42">
        <f>SUM(INICIO!Q102)</f>
        <v>2032.1867999999997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2414.2379184000001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2391.8838636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2414.2379184000001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1.7347374999999998</v>
      </c>
      <c r="D24" s="22">
        <f>SUM(C34*0.04)+C34</f>
        <v>1.6860999999999999</v>
      </c>
      <c r="E24" s="22">
        <f>SUM(C34*0.04)+C34</f>
        <v>1.6860999999999999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1.7347374999999998</v>
      </c>
      <c r="D25" s="22">
        <f>SUM(C34*0.04)+C34</f>
        <v>1.6860999999999999</v>
      </c>
      <c r="E25" s="22">
        <f>SUM(C34*0.04)+C34</f>
        <v>1.6860999999999999</v>
      </c>
      <c r="F25" s="16"/>
      <c r="G25" s="18">
        <v>2</v>
      </c>
      <c r="H25" s="22">
        <f>SUM(H34*0.14)+H34</f>
        <v>1.5465239999999998</v>
      </c>
      <c r="I25" s="22">
        <f>SUM(H34*0.11)+H34</f>
        <v>1.5058259999999999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1.7509499999999998</v>
      </c>
      <c r="D26" s="22">
        <f>SUM(C34*0.05)+C34</f>
        <v>1.7023124999999999</v>
      </c>
      <c r="E26" s="22">
        <f>SUM(C34*0.05)+C34</f>
        <v>1.7023124999999999</v>
      </c>
      <c r="F26" s="16"/>
      <c r="G26" s="18">
        <v>2.5</v>
      </c>
      <c r="H26" s="22">
        <f>SUM(H34*0.12)+H34</f>
        <v>1.5193919999999999</v>
      </c>
      <c r="I26" s="22">
        <f>SUM(H34*0.09)+H34</f>
        <v>1.4786939999999997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1.7833749999999999</v>
      </c>
      <c r="D27" s="22">
        <f>SUM(C34*0.07)+C34</f>
        <v>1.7347374999999998</v>
      </c>
      <c r="E27" s="22">
        <f>SUM(C34*0.07)+C34</f>
        <v>1.7347374999999998</v>
      </c>
      <c r="F27" s="16"/>
      <c r="G27" s="18">
        <v>3.17</v>
      </c>
      <c r="H27" s="22">
        <f>SUM(H34*0.11)+H34</f>
        <v>1.5058259999999999</v>
      </c>
      <c r="I27" s="22">
        <f>SUM(H34*0.08)+H34</f>
        <v>1.4651279999999998</v>
      </c>
      <c r="J27" s="22">
        <f>SUM(H34*0.08)+H34</f>
        <v>1.4651279999999998</v>
      </c>
      <c r="K27" s="9"/>
    </row>
    <row r="28" spans="1:11" s="1" customFormat="1" ht="15.75" x14ac:dyDescent="0.25">
      <c r="B28" s="17">
        <v>0.65</v>
      </c>
      <c r="C28" s="22">
        <f>SUM(C34*0.12)+C34</f>
        <v>1.8157999999999999</v>
      </c>
      <c r="D28" s="22">
        <f>SUM(C34*0.09)+C34</f>
        <v>1.7671624999999997</v>
      </c>
      <c r="E28" s="23" t="s">
        <v>2</v>
      </c>
      <c r="F28" s="16"/>
      <c r="G28" s="18" t="s">
        <v>4</v>
      </c>
      <c r="H28" s="22">
        <f>SUM(H34*0.1)+H34</f>
        <v>1.4922599999999997</v>
      </c>
      <c r="I28" s="22">
        <f>SUM(H34*0.07+H34)</f>
        <v>1.4515619999999998</v>
      </c>
      <c r="J28" s="22">
        <f>SUM(H34*0.07)+H34</f>
        <v>1.4515619999999998</v>
      </c>
      <c r="K28" s="9"/>
    </row>
    <row r="29" spans="1:11" s="1" customFormat="1" ht="15.75" x14ac:dyDescent="0.25">
      <c r="B29" s="17">
        <v>24</v>
      </c>
      <c r="C29" s="22">
        <f>SUM(C34*0.16)+C34</f>
        <v>1.8806499999999997</v>
      </c>
      <c r="D29" s="22">
        <f>SUM(C34*0.13)+C34</f>
        <v>1.8320124999999998</v>
      </c>
      <c r="E29" s="23" t="s">
        <v>2</v>
      </c>
      <c r="F29" s="16"/>
      <c r="G29" s="18">
        <v>6.35</v>
      </c>
      <c r="H29" s="22">
        <f>SUM(H34*0.11)+H34</f>
        <v>1.5058259999999999</v>
      </c>
      <c r="I29" s="22">
        <f>SUM(H34*0.08)+H34</f>
        <v>1.4651279999999998</v>
      </c>
      <c r="J29" s="22">
        <f>SUM(H34*0.08)+H34</f>
        <v>1.4651279999999998</v>
      </c>
      <c r="K29" s="9"/>
    </row>
    <row r="30" spans="1:11" s="1" customFormat="1" ht="15.75" x14ac:dyDescent="0.25">
      <c r="B30" s="17">
        <v>26</v>
      </c>
      <c r="C30" s="22">
        <f>SUM(C34*0.2)+C34</f>
        <v>1.9454999999999998</v>
      </c>
      <c r="D30" s="22">
        <f>SUM(C34*0.15)+C34</f>
        <v>1.8644374999999997</v>
      </c>
      <c r="E30" s="23" t="s">
        <v>2</v>
      </c>
      <c r="F30" s="16"/>
      <c r="G30" s="18">
        <v>8</v>
      </c>
      <c r="H30" s="22">
        <f>SUM(H34*0.11)+H34</f>
        <v>1.5058259999999999</v>
      </c>
      <c r="I30" s="22">
        <f>SUM(H34*0.08)+H34</f>
        <v>1.4651279999999998</v>
      </c>
      <c r="J30" s="22">
        <f>SUM(H34*0.08)+H34</f>
        <v>1.4651279999999998</v>
      </c>
      <c r="K30" s="9"/>
    </row>
    <row r="31" spans="1:11" s="1" customFormat="1" ht="15.75" x14ac:dyDescent="0.25">
      <c r="B31" s="17">
        <v>27</v>
      </c>
      <c r="C31" s="22">
        <f>SUM(C34*0.26)+C34</f>
        <v>2.0427749999999998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1.5193919999999999</v>
      </c>
      <c r="I31" s="22">
        <f>SUM(H34*0.09)+H34</f>
        <v>1.4786939999999997</v>
      </c>
      <c r="J31" s="22">
        <f>SUM(H34*0.1)+H34</f>
        <v>1.4922599999999997</v>
      </c>
      <c r="K31" s="9"/>
    </row>
    <row r="32" spans="1:11" s="1" customFormat="1" ht="15.75" x14ac:dyDescent="0.25">
      <c r="B32" s="17">
        <v>30</v>
      </c>
      <c r="C32" s="22">
        <f>SUM(C34*0.32)+C34</f>
        <v>2.1400499999999996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1.5193919999999999</v>
      </c>
      <c r="I32" s="22">
        <f>SUM(H34*0.09)+H34</f>
        <v>1.4786939999999997</v>
      </c>
      <c r="J32" s="22">
        <f>SUM(H34*0.1)+H34</f>
        <v>1.4922599999999997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SUM(INICIO!J102)</f>
        <v>1.6212499999999999</v>
      </c>
      <c r="D34" s="10"/>
      <c r="E34" s="10"/>
      <c r="F34" s="10"/>
      <c r="G34" s="26" t="s">
        <v>5</v>
      </c>
      <c r="H34" s="27">
        <f>SUM(INICIO!P102)</f>
        <v>1.3565999999999998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1.6116407999999998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1.5967181999999998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1.6116407999999998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PROPER(INICIO!D103)</f>
        <v>Grupo Quiero/Puertas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SUM(INICIO!K103)</f>
        <v>2137.1965999999998</v>
      </c>
      <c r="D16" s="43"/>
      <c r="E16" s="43"/>
      <c r="F16" s="10"/>
      <c r="G16" s="26" t="s">
        <v>5</v>
      </c>
      <c r="H16" s="42">
        <f>SUM(INICIO!Q103)</f>
        <v>1844.3375999999998</v>
      </c>
      <c r="I16" s="43"/>
      <c r="J16" s="43" t="s">
        <v>346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SUM(INICIO!J103)</f>
        <v>1.4266999999999999</v>
      </c>
      <c r="D34" s="10"/>
      <c r="E34" s="10"/>
      <c r="F34" s="10"/>
      <c r="G34" s="26" t="s">
        <v>5</v>
      </c>
      <c r="H34" s="27">
        <f>SUM(INICIO!P103)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40"/>
  <sheetViews>
    <sheetView showGridLines="0" zoomScale="110" zoomScaleNormal="11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PROPER(INICIO!D104)</f>
        <v>Servichap/Permetal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2224.4330793999998</v>
      </c>
      <c r="D6" s="40">
        <f>SUM(C16*0.04)+C16</f>
        <v>2162.0657968</v>
      </c>
      <c r="E6" s="40">
        <f>SUM(C16*0.04)+C16</f>
        <v>2162.0657968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2224.4330793999998</v>
      </c>
      <c r="D7" s="40">
        <f>SUM(C16*0.04)+C16</f>
        <v>2162.0657968</v>
      </c>
      <c r="E7" s="40">
        <f>SUM(C16*0.04)+C16</f>
        <v>2162.0657968</v>
      </c>
      <c r="F7" s="16"/>
      <c r="G7" s="18">
        <v>2</v>
      </c>
      <c r="H7" s="40">
        <f>SUM(H16*0.14)+H16</f>
        <v>2044.1408399999998</v>
      </c>
      <c r="I7" s="40">
        <f>SUM(H16*0.11)+H16</f>
        <v>1990.3476599999997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2245.2221736000001</v>
      </c>
      <c r="D8" s="40">
        <f>SUM(C16*0.05)+C16</f>
        <v>2182.854891</v>
      </c>
      <c r="E8" s="40">
        <f>SUM(C16*0.05)+C16</f>
        <v>2182.854891</v>
      </c>
      <c r="F8" s="16"/>
      <c r="G8" s="18">
        <v>2.5</v>
      </c>
      <c r="H8" s="40">
        <f>SUM(H16*0.12)+H16</f>
        <v>2008.2787199999998</v>
      </c>
      <c r="I8" s="40">
        <f>SUM(H16*0.09)+H16</f>
        <v>1954.4855399999997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2286.800362</v>
      </c>
      <c r="D9" s="40">
        <f>SUM(C16*0.07)+C16</f>
        <v>2224.4330793999998</v>
      </c>
      <c r="E9" s="40">
        <f>SUM(C16*0.07)+C16</f>
        <v>2224.4330793999998</v>
      </c>
      <c r="F9" s="16"/>
      <c r="G9" s="18">
        <v>3.17</v>
      </c>
      <c r="H9" s="40">
        <f>SUM(H16*0.11)+H16</f>
        <v>1990.3476599999997</v>
      </c>
      <c r="I9" s="40">
        <f>SUM(H16*0.08)+H16</f>
        <v>1936.5544799999998</v>
      </c>
      <c r="J9" s="40">
        <f>SUM(H16*0.08)+H16</f>
        <v>1936.5544799999998</v>
      </c>
      <c r="K9" s="9"/>
    </row>
    <row r="10" spans="1:11" ht="15.75" x14ac:dyDescent="0.25">
      <c r="A10" s="1"/>
      <c r="B10" s="17">
        <v>0.65</v>
      </c>
      <c r="C10" s="40">
        <f>SUM(C16*0.12)+C16</f>
        <v>2328.3785503999998</v>
      </c>
      <c r="D10" s="40">
        <f>SUM(C16*0.09)+C16</f>
        <v>2266.0112678</v>
      </c>
      <c r="E10" s="40" t="s">
        <v>2</v>
      </c>
      <c r="F10" s="16"/>
      <c r="G10" s="18" t="s">
        <v>4</v>
      </c>
      <c r="H10" s="40">
        <f>SUM(H16*0.1)+H16</f>
        <v>1972.4165999999998</v>
      </c>
      <c r="I10" s="40">
        <f>SUM(H16*0.07+H16)</f>
        <v>1918.6234199999997</v>
      </c>
      <c r="J10" s="40">
        <f>SUM(H16*0.07)+H16</f>
        <v>1918.6234199999997</v>
      </c>
      <c r="K10" s="9"/>
    </row>
    <row r="11" spans="1:11" ht="15.75" x14ac:dyDescent="0.25">
      <c r="A11" s="1"/>
      <c r="B11" s="17">
        <v>24</v>
      </c>
      <c r="C11" s="40">
        <f>SUM(C16*0.16)+C16</f>
        <v>2411.5349271999999</v>
      </c>
      <c r="D11" s="40">
        <f>SUM(C16*0.13)+C16</f>
        <v>2349.1676446000001</v>
      </c>
      <c r="E11" s="40" t="s">
        <v>2</v>
      </c>
      <c r="F11" s="16"/>
      <c r="G11" s="18">
        <v>6.35</v>
      </c>
      <c r="H11" s="40">
        <f>SUM(H16*0.11)+H16</f>
        <v>1990.3476599999997</v>
      </c>
      <c r="I11" s="40">
        <f>SUM(H16*0.08)+H16</f>
        <v>1936.5544799999998</v>
      </c>
      <c r="J11" s="40">
        <f>SUM(H16*0.08)+H16</f>
        <v>1936.5544799999998</v>
      </c>
      <c r="K11" s="9"/>
    </row>
    <row r="12" spans="1:11" ht="15.75" x14ac:dyDescent="0.25">
      <c r="A12" s="1"/>
      <c r="B12" s="17">
        <v>26</v>
      </c>
      <c r="C12" s="40">
        <f>SUM(C16*0.2)+C16</f>
        <v>2494.6913039999999</v>
      </c>
      <c r="D12" s="40">
        <f>SUM(C16*0.15)+C16</f>
        <v>2390.7458329999999</v>
      </c>
      <c r="E12" s="40" t="s">
        <v>2</v>
      </c>
      <c r="F12" s="16"/>
      <c r="G12" s="18">
        <v>8</v>
      </c>
      <c r="H12" s="40">
        <f>SUM(H16*0.11)+H16</f>
        <v>1990.3476599999997</v>
      </c>
      <c r="I12" s="40">
        <f>SUM(H16*0.08)+H16</f>
        <v>1936.5544799999998</v>
      </c>
      <c r="J12" s="40">
        <f>SUM(H16*0.08)+H16</f>
        <v>1936.5544799999998</v>
      </c>
      <c r="K12" s="9"/>
    </row>
    <row r="13" spans="1:11" ht="15.75" x14ac:dyDescent="0.25">
      <c r="A13" s="1"/>
      <c r="B13" s="17">
        <v>27</v>
      </c>
      <c r="C13" s="40">
        <f>SUM(C16*0.26)+C16</f>
        <v>2619.4258691999999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2008.2787199999998</v>
      </c>
      <c r="I13" s="40">
        <f>SUM(H16*0.09)+H16</f>
        <v>1954.4855399999997</v>
      </c>
      <c r="J13" s="40">
        <f>SUM(H16*0.1)+H16</f>
        <v>1972.4165999999998</v>
      </c>
      <c r="K13" s="9"/>
    </row>
    <row r="14" spans="1:11" ht="15.75" x14ac:dyDescent="0.25">
      <c r="A14" s="1"/>
      <c r="B14" s="17">
        <v>30</v>
      </c>
      <c r="C14" s="40">
        <f>SUM(C16*0.32)+C16</f>
        <v>2744.1604343999998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2008.2787199999998</v>
      </c>
      <c r="I14" s="40">
        <f>SUM(H16*0.09)+H16</f>
        <v>1954.4855399999997</v>
      </c>
      <c r="J14" s="40">
        <f>SUM(H16*0.1)+H16</f>
        <v>1972.4165999999998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SUM(INICIO!K104)</f>
        <v>2078.90942</v>
      </c>
      <c r="D16" s="43"/>
      <c r="E16" s="43"/>
      <c r="F16" s="10"/>
      <c r="G16" s="26" t="s">
        <v>5</v>
      </c>
      <c r="H16" s="42">
        <f>SUM(INICIO!Q104)</f>
        <v>1793.1059999999998</v>
      </c>
      <c r="I16" s="43"/>
      <c r="J16" s="43" t="s">
        <v>345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2130.2099279999998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2110.4857619999998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2130.2099279999998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1.4849352999999998</v>
      </c>
      <c r="D24" s="22">
        <f>SUM(C34*0.04)+C34</f>
        <v>1.4433015999999999</v>
      </c>
      <c r="E24" s="22">
        <f>SUM(C34*0.04)+C34</f>
        <v>1.4433015999999999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1.4849352999999998</v>
      </c>
      <c r="D25" s="22">
        <f>SUM(C34*0.04)+C34</f>
        <v>1.4433015999999999</v>
      </c>
      <c r="E25" s="22">
        <f>SUM(C34*0.04)+C34</f>
        <v>1.4433015999999999</v>
      </c>
      <c r="F25" s="16"/>
      <c r="G25" s="18">
        <v>2</v>
      </c>
      <c r="H25" s="22">
        <f>SUM(H34*0.14)+H34</f>
        <v>1.3645799999999999</v>
      </c>
      <c r="I25" s="22">
        <f>SUM(H34*0.11)+H34</f>
        <v>1.3286699999999998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1.4988131999999998</v>
      </c>
      <c r="D26" s="22">
        <f>SUM(C34*0.05)+C34</f>
        <v>1.4571794999999998</v>
      </c>
      <c r="E26" s="22">
        <f>SUM(C34*0.05)+C34</f>
        <v>1.4571794999999998</v>
      </c>
      <c r="F26" s="16"/>
      <c r="G26" s="18">
        <v>2.5</v>
      </c>
      <c r="H26" s="22">
        <f>SUM(H34*0.12)+H34</f>
        <v>1.3406399999999998</v>
      </c>
      <c r="I26" s="22">
        <f>SUM(H34*0.09)+H34</f>
        <v>1.3047299999999997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1.5265689999999998</v>
      </c>
      <c r="D27" s="22">
        <f>SUM(C34*0.07)+C34</f>
        <v>1.4849352999999998</v>
      </c>
      <c r="E27" s="22">
        <f>SUM(C34*0.07)+C34</f>
        <v>1.4849352999999998</v>
      </c>
      <c r="F27" s="16"/>
      <c r="G27" s="18">
        <v>3.17</v>
      </c>
      <c r="H27" s="22">
        <f>SUM(H34*0.11)+H34</f>
        <v>1.3286699999999998</v>
      </c>
      <c r="I27" s="22">
        <f>SUM(H34*0.08)+H34</f>
        <v>1.2927599999999999</v>
      </c>
      <c r="J27" s="22">
        <f>SUM(H34*0.08)+H34</f>
        <v>1.2927599999999999</v>
      </c>
      <c r="K27" s="9"/>
    </row>
    <row r="28" spans="1:11" s="1" customFormat="1" ht="15.75" x14ac:dyDescent="0.25">
      <c r="B28" s="17">
        <v>0.65</v>
      </c>
      <c r="C28" s="22">
        <f>SUM(C34*0.12)+C34</f>
        <v>1.5543247999999998</v>
      </c>
      <c r="D28" s="22">
        <f>SUM(C34*0.09)+C34</f>
        <v>1.5126910999999998</v>
      </c>
      <c r="E28" s="23" t="s">
        <v>2</v>
      </c>
      <c r="F28" s="16"/>
      <c r="G28" s="18" t="s">
        <v>4</v>
      </c>
      <c r="H28" s="22">
        <f>SUM(H34*0.1)+H34</f>
        <v>1.3166999999999998</v>
      </c>
      <c r="I28" s="22">
        <f>SUM(H34*0.07+H34)</f>
        <v>1.2807899999999999</v>
      </c>
      <c r="J28" s="22">
        <f>SUM(H34*0.07)+H34</f>
        <v>1.2807899999999999</v>
      </c>
      <c r="K28" s="9"/>
    </row>
    <row r="29" spans="1:11" s="1" customFormat="1" ht="15.75" x14ac:dyDescent="0.25">
      <c r="B29" s="17">
        <v>24</v>
      </c>
      <c r="C29" s="22">
        <f>SUM(C34*0.16)+C34</f>
        <v>1.6098363999999998</v>
      </c>
      <c r="D29" s="22">
        <f>SUM(C34*0.13)+C34</f>
        <v>1.5682026999999998</v>
      </c>
      <c r="E29" s="23" t="s">
        <v>2</v>
      </c>
      <c r="F29" s="16"/>
      <c r="G29" s="18">
        <v>6.35</v>
      </c>
      <c r="H29" s="22">
        <f>SUM(H34*0.11)+H34</f>
        <v>1.3286699999999998</v>
      </c>
      <c r="I29" s="22">
        <f>SUM(H34*0.08)+H34</f>
        <v>1.2927599999999999</v>
      </c>
      <c r="J29" s="22">
        <f>SUM(H34*0.08)+H34</f>
        <v>1.2927599999999999</v>
      </c>
      <c r="K29" s="9"/>
    </row>
    <row r="30" spans="1:11" s="1" customFormat="1" ht="15.75" x14ac:dyDescent="0.25">
      <c r="B30" s="17">
        <v>26</v>
      </c>
      <c r="C30" s="22">
        <f>SUM(C34*0.2)+C34</f>
        <v>1.6653479999999998</v>
      </c>
      <c r="D30" s="22">
        <f>SUM(C34*0.15)+C34</f>
        <v>1.5959584999999998</v>
      </c>
      <c r="E30" s="23" t="s">
        <v>2</v>
      </c>
      <c r="F30" s="16"/>
      <c r="G30" s="18">
        <v>8</v>
      </c>
      <c r="H30" s="22">
        <f>SUM(H34*0.11)+H34</f>
        <v>1.3286699999999998</v>
      </c>
      <c r="I30" s="22">
        <f>SUM(H34*0.08)+H34</f>
        <v>1.2927599999999999</v>
      </c>
      <c r="J30" s="22">
        <f>SUM(H34*0.08)+H34</f>
        <v>1.2927599999999999</v>
      </c>
      <c r="K30" s="9"/>
    </row>
    <row r="31" spans="1:11" s="1" customFormat="1" ht="15.75" x14ac:dyDescent="0.25">
      <c r="B31" s="17">
        <v>27</v>
      </c>
      <c r="C31" s="22">
        <f>SUM(C34*0.26)+C34</f>
        <v>1.7486153999999998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1.3406399999999998</v>
      </c>
      <c r="I31" s="22">
        <f>SUM(H34*0.09)+H34</f>
        <v>1.3047299999999997</v>
      </c>
      <c r="J31" s="22">
        <f>SUM(H34*0.1)+H34</f>
        <v>1.3166999999999998</v>
      </c>
      <c r="K31" s="9"/>
    </row>
    <row r="32" spans="1:11" s="1" customFormat="1" ht="15.75" x14ac:dyDescent="0.25">
      <c r="B32" s="17">
        <v>30</v>
      </c>
      <c r="C32" s="22">
        <f>SUM(C34*0.32)+C34</f>
        <v>1.8318827999999998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1.3406399999999998</v>
      </c>
      <c r="I32" s="22">
        <f>SUM(H34*0.09)+H34</f>
        <v>1.3047299999999997</v>
      </c>
      <c r="J32" s="22">
        <f>SUM(H34*0.1)+H34</f>
        <v>1.3166999999999998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SUM(INICIO!J104)</f>
        <v>1.3877899999999999</v>
      </c>
      <c r="D34" s="10"/>
      <c r="E34" s="10"/>
      <c r="F34" s="10"/>
      <c r="G34" s="26" t="s">
        <v>5</v>
      </c>
      <c r="H34" s="27">
        <f>SUM(INICIO!P104)</f>
        <v>1.1969999999999998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1.4220359999999999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1.4088689999999999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1.4220359999999999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40"/>
  <sheetViews>
    <sheetView showGridLines="0" workbookViewId="0">
      <selection activeCell="J17" sqref="J17"/>
    </sheetView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PROPER(INICIO!D105)</f>
        <v>Tea/Indumetales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2083.0768559999997</v>
      </c>
      <c r="I7" s="40">
        <f>SUM(H16*0.11)+H16</f>
        <v>2028.2590439999999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2046.5316479999999</v>
      </c>
      <c r="I8" s="40">
        <f>SUM(H16*0.09)+H16</f>
        <v>1991.7138359999999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2028.2590439999999</v>
      </c>
      <c r="I9" s="40">
        <f>SUM(H16*0.08)+H16</f>
        <v>1973.4412319999999</v>
      </c>
      <c r="J9" s="40">
        <f>SUM(H16*0.08)+H16</f>
        <v>1973.4412319999999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2009.9864399999999</v>
      </c>
      <c r="I10" s="40">
        <f>SUM(H16*0.07+H16)</f>
        <v>1955.1686279999999</v>
      </c>
      <c r="J10" s="40">
        <f>SUM(H16*0.07)+H16</f>
        <v>1955.1686279999999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2028.2590439999999</v>
      </c>
      <c r="I11" s="40">
        <f>SUM(H16*0.08)+H16</f>
        <v>1973.4412319999999</v>
      </c>
      <c r="J11" s="40">
        <f>SUM(H16*0.08)+H16</f>
        <v>1973.4412319999999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2028.2590439999999</v>
      </c>
      <c r="I12" s="40">
        <f>SUM(H16*0.08)+H16</f>
        <v>1973.4412319999999</v>
      </c>
      <c r="J12" s="40">
        <f>SUM(H16*0.08)+H16</f>
        <v>1973.4412319999999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2046.5316479999999</v>
      </c>
      <c r="I13" s="40">
        <f>SUM(H16*0.09)+H16</f>
        <v>1991.7138359999999</v>
      </c>
      <c r="J13" s="40">
        <f>SUM(H16*0.1)+H16</f>
        <v>2009.9864399999999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2046.5316479999999</v>
      </c>
      <c r="I14" s="40">
        <f>SUM(H16*0.09)+H16</f>
        <v>1991.7138359999999</v>
      </c>
      <c r="J14" s="40">
        <f>SUM(H16*0.1)+H16</f>
        <v>2009.9864399999999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SUM(INICIO!K105)</f>
        <v>2176.0547200000001</v>
      </c>
      <c r="D16" s="43"/>
      <c r="E16" s="43"/>
      <c r="F16" s="10"/>
      <c r="G16" s="26" t="s">
        <v>5</v>
      </c>
      <c r="H16" s="42">
        <f>SUM(INICIO!Q105)</f>
        <v>1827.2603999999999</v>
      </c>
      <c r="I16" s="43"/>
      <c r="J16" s="43" t="s">
        <v>305</v>
      </c>
      <c r="K16" s="9"/>
    </row>
    <row r="17" spans="1:11" ht="15.75" x14ac:dyDescent="0.25">
      <c r="A17" s="1"/>
      <c r="B17" s="10"/>
      <c r="C17" s="43"/>
      <c r="D17" s="43"/>
      <c r="E17" s="43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2170.7853551999997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2150.6854908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2170.7853551999997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1.3905719999999999</v>
      </c>
      <c r="I25" s="22">
        <f>SUM(H34*0.11)+H34</f>
        <v>1.3539779999999999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1.3661760000000001</v>
      </c>
      <c r="I26" s="22">
        <f>SUM(H34*0.09)+H34</f>
        <v>1.329582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1.3539779999999999</v>
      </c>
      <c r="I27" s="22">
        <f>SUM(H34*0.08)+H34</f>
        <v>1.3173840000000001</v>
      </c>
      <c r="J27" s="22">
        <f>SUM(H34*0.08)+H34</f>
        <v>1.3173840000000001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1.34178</v>
      </c>
      <c r="I28" s="22">
        <f>SUM(H34*0.07+H34)</f>
        <v>1.305186</v>
      </c>
      <c r="J28" s="22">
        <f>SUM(H34*0.07)+H34</f>
        <v>1.305186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1.3539779999999999</v>
      </c>
      <c r="I29" s="22">
        <f>SUM(H34*0.08)+H34</f>
        <v>1.3173840000000001</v>
      </c>
      <c r="J29" s="22">
        <f>SUM(H34*0.08)+H34</f>
        <v>1.3173840000000001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1.3539779999999999</v>
      </c>
      <c r="I30" s="22">
        <f>SUM(H34*0.08)+H34</f>
        <v>1.3173840000000001</v>
      </c>
      <c r="J30" s="22">
        <f>SUM(H34*0.08)+H34</f>
        <v>1.3173840000000001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1.3661760000000001</v>
      </c>
      <c r="I31" s="22">
        <f>SUM(H34*0.09)+H34</f>
        <v>1.329582</v>
      </c>
      <c r="J31" s="22">
        <f>SUM(H34*0.1)+H34</f>
        <v>1.34178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1.3661760000000001</v>
      </c>
      <c r="I32" s="22">
        <f>SUM(H34*0.09)+H34</f>
        <v>1.329582</v>
      </c>
      <c r="J32" s="22">
        <f>SUM(H34*0.1)+H34</f>
        <v>1.34178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SUM(INICIO!J105)</f>
        <v>1.4526399999999999</v>
      </c>
      <c r="D34" s="10"/>
      <c r="E34" s="10"/>
      <c r="F34" s="10"/>
      <c r="G34" s="26" t="s">
        <v>5</v>
      </c>
      <c r="H34" s="27">
        <f>SUM(INICIO!P105)</f>
        <v>1.2198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1.4491224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1.4357046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1.4491224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K40"/>
  <sheetViews>
    <sheetView showGridLines="0" topLeftCell="A13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PROPER(INICIO!D106)</f>
        <v>Simat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2463.5076626999999</v>
      </c>
      <c r="D6" s="40">
        <f>SUM(C16*0.04)+C16</f>
        <v>2394.4373544</v>
      </c>
      <c r="E6" s="40">
        <f>SUM(C16*0.04)+C16</f>
        <v>2394.4373544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2463.5076626999999</v>
      </c>
      <c r="D7" s="40">
        <f>SUM(C16*0.04)+C16</f>
        <v>2394.4373544</v>
      </c>
      <c r="E7" s="40">
        <f>SUM(C16*0.04)+C16</f>
        <v>2394.4373544</v>
      </c>
      <c r="F7" s="16"/>
      <c r="G7" s="18">
        <v>2</v>
      </c>
      <c r="H7" s="40">
        <f>SUM(H16*0.14)+H16</f>
        <v>2180.4168959999997</v>
      </c>
      <c r="I7" s="40">
        <f>SUM(H16*0.11)+H16</f>
        <v>2123.0375039999999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2486.5310988000001</v>
      </c>
      <c r="D8" s="40">
        <f>SUM(C16*0.05)+C16</f>
        <v>2417.4607904999998</v>
      </c>
      <c r="E8" s="40">
        <f>SUM(C16*0.05)+C16</f>
        <v>2417.4607904999998</v>
      </c>
      <c r="F8" s="16"/>
      <c r="G8" s="18">
        <v>2.5</v>
      </c>
      <c r="H8" s="40">
        <f>SUM(H16*0.12)+H16</f>
        <v>2142.1639679999998</v>
      </c>
      <c r="I8" s="40">
        <f>SUM(H16*0.09)+H16</f>
        <v>2084.784576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2532.5779709999997</v>
      </c>
      <c r="D9" s="40">
        <f>SUM(C16*0.07)+C16</f>
        <v>2463.5076626999999</v>
      </c>
      <c r="E9" s="40">
        <f>SUM(C16*0.07)+C16</f>
        <v>2463.5076626999999</v>
      </c>
      <c r="F9" s="16"/>
      <c r="G9" s="18">
        <v>3.17</v>
      </c>
      <c r="H9" s="40">
        <f>SUM(H16*0.11)+H16</f>
        <v>2123.0375039999999</v>
      </c>
      <c r="I9" s="40">
        <f>SUM(H16*0.08)+H16</f>
        <v>2065.6581120000001</v>
      </c>
      <c r="J9" s="40">
        <f>SUM(H16*0.08)+H16</f>
        <v>2065.6581120000001</v>
      </c>
      <c r="K9" s="9"/>
    </row>
    <row r="10" spans="1:11" ht="15.75" x14ac:dyDescent="0.25">
      <c r="A10" s="1"/>
      <c r="B10" s="17">
        <v>0.65</v>
      </c>
      <c r="C10" s="40">
        <f>SUM(C16*0.12)+C16</f>
        <v>2578.6248431999998</v>
      </c>
      <c r="D10" s="40">
        <f>SUM(C16*0.09)+C16</f>
        <v>2509.5545348999999</v>
      </c>
      <c r="E10" s="40" t="s">
        <v>2</v>
      </c>
      <c r="F10" s="16"/>
      <c r="G10" s="18" t="s">
        <v>4</v>
      </c>
      <c r="H10" s="40">
        <f>SUM(H16*0.1)+H16</f>
        <v>2103.91104</v>
      </c>
      <c r="I10" s="40">
        <f>SUM(H16*0.07+H16)</f>
        <v>2046.5316479999999</v>
      </c>
      <c r="J10" s="40">
        <f>SUM(H16*0.07)+H16</f>
        <v>2046.5316479999999</v>
      </c>
      <c r="K10" s="9"/>
    </row>
    <row r="11" spans="1:11" ht="15.75" x14ac:dyDescent="0.25">
      <c r="A11" s="1"/>
      <c r="B11" s="17">
        <v>24</v>
      </c>
      <c r="C11" s="40">
        <f>SUM(C16*0.16)+C16</f>
        <v>2670.7185875999999</v>
      </c>
      <c r="D11" s="40">
        <f>SUM(C16*0.13)+C16</f>
        <v>2601.6482793</v>
      </c>
      <c r="E11" s="40" t="s">
        <v>2</v>
      </c>
      <c r="F11" s="16"/>
      <c r="G11" s="18">
        <v>6.35</v>
      </c>
      <c r="H11" s="40">
        <f>SUM(H16*0.11)+H16</f>
        <v>2123.0375039999999</v>
      </c>
      <c r="I11" s="40">
        <f>SUM(H16*0.08)+H16</f>
        <v>2065.6581120000001</v>
      </c>
      <c r="J11" s="40">
        <f>SUM(H16*0.08)+H16</f>
        <v>2065.6581120000001</v>
      </c>
      <c r="K11" s="9"/>
    </row>
    <row r="12" spans="1:11" ht="15.75" x14ac:dyDescent="0.25">
      <c r="A12" s="1"/>
      <c r="B12" s="17">
        <v>26</v>
      </c>
      <c r="C12" s="40">
        <f>SUM(C16*0.2)+C16</f>
        <v>2762.812332</v>
      </c>
      <c r="D12" s="40">
        <f>SUM(C16*0.15)+C16</f>
        <v>2647.6951515000001</v>
      </c>
      <c r="E12" s="40" t="s">
        <v>2</v>
      </c>
      <c r="F12" s="16"/>
      <c r="G12" s="18">
        <v>8</v>
      </c>
      <c r="H12" s="40">
        <f>SUM(H16*0.11)+H16</f>
        <v>2123.0375039999999</v>
      </c>
      <c r="I12" s="40">
        <f>SUM(H16*0.08)+H16</f>
        <v>2065.6581120000001</v>
      </c>
      <c r="J12" s="40">
        <f>SUM(H16*0.08)+H16</f>
        <v>2065.6581120000001</v>
      </c>
      <c r="K12" s="9"/>
    </row>
    <row r="13" spans="1:11" ht="15.75" x14ac:dyDescent="0.25">
      <c r="A13" s="1"/>
      <c r="B13" s="17">
        <v>27</v>
      </c>
      <c r="C13" s="40">
        <f>SUM(C16*0.26)+C16</f>
        <v>2900.9529486000001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2142.1639679999998</v>
      </c>
      <c r="I13" s="40">
        <f>SUM(H16*0.09)+H16</f>
        <v>2084.784576</v>
      </c>
      <c r="J13" s="40">
        <f>SUM(H16*0.1)+H16</f>
        <v>2103.91104</v>
      </c>
      <c r="K13" s="9"/>
    </row>
    <row r="14" spans="1:11" ht="15.75" x14ac:dyDescent="0.25">
      <c r="A14" s="1"/>
      <c r="B14" s="17">
        <v>30</v>
      </c>
      <c r="C14" s="40">
        <f>SUM(C16*0.32)+C16</f>
        <v>3039.0935651999998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2142.1639679999998</v>
      </c>
      <c r="I14" s="40">
        <f>SUM(H16*0.09)+H16</f>
        <v>2084.784576</v>
      </c>
      <c r="J14" s="40">
        <f>SUM(H16*0.1)+H16</f>
        <v>2103.91104</v>
      </c>
      <c r="K14" s="9"/>
    </row>
    <row r="15" spans="1:11" ht="16.5" thickBot="1" x14ac:dyDescent="0.3">
      <c r="A15" s="1"/>
      <c r="B15" s="10"/>
      <c r="C15" s="10"/>
      <c r="D15" s="10"/>
      <c r="E15" s="10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SUM(INICIO!K106)</f>
        <v>2302.3436099999999</v>
      </c>
      <c r="D16" s="10"/>
      <c r="E16" s="10"/>
      <c r="F16" s="10"/>
      <c r="G16" s="26" t="s">
        <v>5</v>
      </c>
      <c r="H16" s="42">
        <f>SUM(INICIO!Q106)</f>
        <v>1912.6463999999999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2272.2239232000002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2251.1848128000001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2272.2239232000002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1.6445311499999999</v>
      </c>
      <c r="D24" s="22">
        <f>SUM(C34*0.04)+C34</f>
        <v>1.5984228</v>
      </c>
      <c r="E24" s="22">
        <f>SUM(C34*0.04)+C34</f>
        <v>1.5984228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1.6445311499999999</v>
      </c>
      <c r="D25" s="22">
        <f>SUM(C34*0.04)+C34</f>
        <v>1.5984228</v>
      </c>
      <c r="E25" s="22">
        <f>SUM(C34*0.04)+C34</f>
        <v>1.5984228</v>
      </c>
      <c r="F25" s="16"/>
      <c r="G25" s="18">
        <v>2</v>
      </c>
      <c r="H25" s="22">
        <f>SUM(H34*0.14)+H34</f>
        <v>1.455552</v>
      </c>
      <c r="I25" s="22">
        <f>SUM(H34*0.11)+H34</f>
        <v>1.4172479999999998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1.6599006000000001</v>
      </c>
      <c r="D26" s="22">
        <f>SUM(C34*0.05)+C34</f>
        <v>1.6137922499999999</v>
      </c>
      <c r="E26" s="22">
        <f>SUM(C34*0.05)+C34</f>
        <v>1.6137922499999999</v>
      </c>
      <c r="F26" s="16"/>
      <c r="G26" s="18">
        <v>2.5</v>
      </c>
      <c r="H26" s="22">
        <f>SUM(H34*0.12)+H34</f>
        <v>1.430016</v>
      </c>
      <c r="I26" s="22">
        <f>SUM(H34*0.09)+H34</f>
        <v>1.3917119999999998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1.6906395000000001</v>
      </c>
      <c r="D27" s="22">
        <f>SUM(C34*0.07)+C34</f>
        <v>1.6445311499999999</v>
      </c>
      <c r="E27" s="22">
        <f>SUM(C34*0.07)+C34</f>
        <v>1.6445311499999999</v>
      </c>
      <c r="F27" s="16"/>
      <c r="G27" s="18">
        <v>3.17</v>
      </c>
      <c r="H27" s="22">
        <f>SUM(H34*0.11)+H34</f>
        <v>1.4172479999999998</v>
      </c>
      <c r="I27" s="22">
        <f>SUM(H34*0.08)+H34</f>
        <v>1.3789439999999999</v>
      </c>
      <c r="J27" s="22">
        <f>SUM(H34*0.08)+H34</f>
        <v>1.3789439999999999</v>
      </c>
      <c r="K27" s="9"/>
    </row>
    <row r="28" spans="1:11" s="1" customFormat="1" ht="15.75" x14ac:dyDescent="0.25">
      <c r="B28" s="17">
        <v>0.65</v>
      </c>
      <c r="C28" s="22">
        <f>SUM(C34*0.12)+C34</f>
        <v>1.7213784000000001</v>
      </c>
      <c r="D28" s="22">
        <f>SUM(C34*0.09)+C34</f>
        <v>1.67527005</v>
      </c>
      <c r="E28" s="23" t="s">
        <v>2</v>
      </c>
      <c r="F28" s="16"/>
      <c r="G28" s="18" t="s">
        <v>4</v>
      </c>
      <c r="H28" s="22">
        <f>SUM(H34*0.1)+H34</f>
        <v>1.40448</v>
      </c>
      <c r="I28" s="22">
        <f>SUM(H34*0.07+H34)</f>
        <v>1.3661759999999998</v>
      </c>
      <c r="J28" s="22">
        <f>SUM(H34*0.07)+H34</f>
        <v>1.3661759999999998</v>
      </c>
      <c r="K28" s="9"/>
    </row>
    <row r="29" spans="1:11" s="1" customFormat="1" ht="15.75" x14ac:dyDescent="0.25">
      <c r="B29" s="17">
        <v>24</v>
      </c>
      <c r="C29" s="22">
        <f>SUM(C34*0.16)+C34</f>
        <v>1.7828561999999999</v>
      </c>
      <c r="D29" s="22">
        <f>SUM(C34*0.13)+C34</f>
        <v>1.73674785</v>
      </c>
      <c r="E29" s="23" t="s">
        <v>2</v>
      </c>
      <c r="F29" s="16"/>
      <c r="G29" s="18">
        <v>6.35</v>
      </c>
      <c r="H29" s="22">
        <f>SUM(H34*0.11)+H34</f>
        <v>1.4172479999999998</v>
      </c>
      <c r="I29" s="22">
        <f>SUM(H34*0.08)+H34</f>
        <v>1.3789439999999999</v>
      </c>
      <c r="J29" s="22">
        <f>SUM(H34*0.08)+H34</f>
        <v>1.3789439999999999</v>
      </c>
      <c r="K29" s="9"/>
    </row>
    <row r="30" spans="1:11" s="1" customFormat="1" ht="15.75" x14ac:dyDescent="0.25">
      <c r="B30" s="17">
        <v>26</v>
      </c>
      <c r="C30" s="22">
        <f>SUM(C34*0.2)+C34</f>
        <v>1.8443339999999999</v>
      </c>
      <c r="D30" s="22">
        <f>SUM(C34*0.15)+C34</f>
        <v>1.76748675</v>
      </c>
      <c r="E30" s="23" t="s">
        <v>2</v>
      </c>
      <c r="F30" s="16"/>
      <c r="G30" s="18">
        <v>8</v>
      </c>
      <c r="H30" s="22">
        <f>SUM(H34*0.11)+H34</f>
        <v>1.4172479999999998</v>
      </c>
      <c r="I30" s="22">
        <f>SUM(H34*0.08)+H34</f>
        <v>1.3789439999999999</v>
      </c>
      <c r="J30" s="22">
        <f>SUM(H34*0.08)+H34</f>
        <v>1.3789439999999999</v>
      </c>
      <c r="K30" s="9"/>
    </row>
    <row r="31" spans="1:11" s="1" customFormat="1" ht="15.75" x14ac:dyDescent="0.25">
      <c r="B31" s="17">
        <v>27</v>
      </c>
      <c r="C31" s="22">
        <f>SUM(C34*0.26)+C34</f>
        <v>1.9365507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1.430016</v>
      </c>
      <c r="I31" s="22">
        <f>SUM(H34*0.09)+H34</f>
        <v>1.3917119999999998</v>
      </c>
      <c r="J31" s="22">
        <f>SUM(H34*0.1)+H34</f>
        <v>1.40448</v>
      </c>
      <c r="K31" s="9"/>
    </row>
    <row r="32" spans="1:11" s="1" customFormat="1" ht="15.75" x14ac:dyDescent="0.25">
      <c r="B32" s="17">
        <v>30</v>
      </c>
      <c r="C32" s="22">
        <f>SUM(C34*0.32)+C34</f>
        <v>2.0287674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1.430016</v>
      </c>
      <c r="I32" s="22">
        <f>SUM(H34*0.09)+H34</f>
        <v>1.3917119999999998</v>
      </c>
      <c r="J32" s="22">
        <f>SUM(H34*0.1)+H34</f>
        <v>1.40448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SUM(INICIO!J106)</f>
        <v>1.536945</v>
      </c>
      <c r="D34" s="10"/>
      <c r="E34" s="10"/>
      <c r="F34" s="10"/>
      <c r="G34" s="26" t="s">
        <v>5</v>
      </c>
      <c r="H34" s="27">
        <f>SUM(INICIO!P106)</f>
        <v>1.2767999999999999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1.5168383999999999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1.5027935999999997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1.5168383999999999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PROPER(INICIO!D107)</f>
        <v>Sanchez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2245.2221736000001</v>
      </c>
      <c r="D6" s="40">
        <f>SUM(C16*0.04)+C16</f>
        <v>2182.2720191999997</v>
      </c>
      <c r="E6" s="40">
        <f>SUM(C16*0.04)+C16</f>
        <v>2182.2720191999997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2245.2221736000001</v>
      </c>
      <c r="D7" s="40">
        <f>SUM(C16*0.04)+C16</f>
        <v>2182.2720191999997</v>
      </c>
      <c r="E7" s="40">
        <f>SUM(C16*0.04)+C16</f>
        <v>2182.2720191999997</v>
      </c>
      <c r="F7" s="16"/>
      <c r="G7" s="18">
        <v>2</v>
      </c>
      <c r="H7" s="40">
        <f>SUM(H16*0.14)+H16</f>
        <v>2005.2048239999999</v>
      </c>
      <c r="I7" s="40">
        <f>SUM(H16*0.11)+H16</f>
        <v>1952.4362759999999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2266.2055584</v>
      </c>
      <c r="D8" s="40">
        <f>SUM(C16*0.05)+C16</f>
        <v>2203.255404</v>
      </c>
      <c r="E8" s="40">
        <f>SUM(C16*0.05)+C16</f>
        <v>2203.255404</v>
      </c>
      <c r="F8" s="16"/>
      <c r="G8" s="18">
        <v>2.5</v>
      </c>
      <c r="H8" s="40">
        <f>SUM(H16*0.12)+H16</f>
        <v>1970.0257919999999</v>
      </c>
      <c r="I8" s="40">
        <f>SUM(H16*0.09)+H16</f>
        <v>1917.2572439999999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2308.1723279999997</v>
      </c>
      <c r="D9" s="40">
        <f>SUM(C16*0.07)+C16</f>
        <v>2245.2221736000001</v>
      </c>
      <c r="E9" s="40">
        <f>SUM(C16*0.07)+C16</f>
        <v>2245.2221736000001</v>
      </c>
      <c r="F9" s="16"/>
      <c r="G9" s="18">
        <v>3.17</v>
      </c>
      <c r="H9" s="40">
        <f>SUM(H16*0.11)+H16</f>
        <v>1952.4362759999999</v>
      </c>
      <c r="I9" s="40">
        <f>SUM(H16*0.08)+H16</f>
        <v>1899.6677279999999</v>
      </c>
      <c r="J9" s="40">
        <f>SUM(H16*0.08)+H16</f>
        <v>1899.6677279999999</v>
      </c>
      <c r="K9" s="44"/>
    </row>
    <row r="10" spans="1:11" ht="15.75" x14ac:dyDescent="0.25">
      <c r="A10" s="1"/>
      <c r="B10" s="17">
        <v>0.65</v>
      </c>
      <c r="C10" s="40">
        <f>SUM(C16*0.12)+C16</f>
        <v>2350.1390975999998</v>
      </c>
      <c r="D10" s="40">
        <f>SUM(C16*0.09)+C16</f>
        <v>2287.1889431999998</v>
      </c>
      <c r="E10" s="40" t="s">
        <v>2</v>
      </c>
      <c r="F10" s="16"/>
      <c r="G10" s="18" t="s">
        <v>4</v>
      </c>
      <c r="H10" s="40">
        <f>SUM(H16*0.1)+H16</f>
        <v>1934.8467599999999</v>
      </c>
      <c r="I10" s="40">
        <f>SUM(H16*0.07+H16)</f>
        <v>1882.0782119999999</v>
      </c>
      <c r="J10" s="40">
        <f>SUM(H16*0.07)+H16</f>
        <v>1882.0782119999999</v>
      </c>
      <c r="K10" s="44"/>
    </row>
    <row r="11" spans="1:11" ht="15.75" x14ac:dyDescent="0.25">
      <c r="A11" s="1"/>
      <c r="B11" s="17">
        <v>24</v>
      </c>
      <c r="C11" s="40">
        <f>SUM(C16*0.16)+C16</f>
        <v>2434.0726368000001</v>
      </c>
      <c r="D11" s="40">
        <f>SUM(C16*0.13)+C16</f>
        <v>2371.1224824000001</v>
      </c>
      <c r="E11" s="40" t="s">
        <v>2</v>
      </c>
      <c r="F11" s="16"/>
      <c r="G11" s="18">
        <v>6.35</v>
      </c>
      <c r="H11" s="40">
        <f>SUM(H16*0.11)+H16</f>
        <v>1952.4362759999999</v>
      </c>
      <c r="I11" s="40">
        <f>SUM(H16*0.08)+H16</f>
        <v>1899.6677279999999</v>
      </c>
      <c r="J11" s="40">
        <f>SUM(H16*0.08)+H16</f>
        <v>1899.6677279999999</v>
      </c>
      <c r="K11" s="44"/>
    </row>
    <row r="12" spans="1:11" ht="15.75" x14ac:dyDescent="0.25">
      <c r="A12" s="1"/>
      <c r="B12" s="17">
        <v>26</v>
      </c>
      <c r="C12" s="40">
        <f>SUM(C16*0.2)+C16</f>
        <v>2518.0061759999999</v>
      </c>
      <c r="D12" s="40">
        <f>SUM(C16*0.15)+C16</f>
        <v>2413.0892519999998</v>
      </c>
      <c r="E12" s="40" t="s">
        <v>2</v>
      </c>
      <c r="F12" s="16"/>
      <c r="G12" s="18">
        <v>8</v>
      </c>
      <c r="H12" s="40">
        <f>SUM(H16*0.11)+H16</f>
        <v>1952.4362759999999</v>
      </c>
      <c r="I12" s="40">
        <f>SUM(H16*0.08)+H16</f>
        <v>1899.6677279999999</v>
      </c>
      <c r="J12" s="40">
        <f>SUM(H16*0.08)+H16</f>
        <v>1899.6677279999999</v>
      </c>
      <c r="K12" s="44"/>
    </row>
    <row r="13" spans="1:11" ht="15.75" x14ac:dyDescent="0.25">
      <c r="A13" s="1"/>
      <c r="B13" s="17">
        <v>27</v>
      </c>
      <c r="C13" s="40">
        <f>SUM(C16*0.26)+C16</f>
        <v>2643.9064847999998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1970.0257919999999</v>
      </c>
      <c r="I13" s="40">
        <f>SUM(H16*0.09)+H16</f>
        <v>1917.2572439999999</v>
      </c>
      <c r="J13" s="40">
        <f>SUM(H16*0.1)+H16</f>
        <v>1934.8467599999999</v>
      </c>
      <c r="K13" s="44"/>
    </row>
    <row r="14" spans="1:11" ht="15.75" x14ac:dyDescent="0.25">
      <c r="A14" s="1"/>
      <c r="B14" s="17">
        <v>30</v>
      </c>
      <c r="C14" s="40">
        <f>SUM(C16*0.32)+C16</f>
        <v>2769.8067935999998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1970.0257919999999</v>
      </c>
      <c r="I14" s="40">
        <f>SUM(H16*0.09)+H16</f>
        <v>1917.2572439999999</v>
      </c>
      <c r="J14" s="40">
        <f>SUM(H16*0.1)+H16</f>
        <v>1934.8467599999999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SUM(INICIO!K107)</f>
        <v>2098.3384799999999</v>
      </c>
      <c r="D16" s="43"/>
      <c r="E16" s="43"/>
      <c r="F16" s="10"/>
      <c r="G16" s="26" t="s">
        <v>5</v>
      </c>
      <c r="H16" s="42">
        <f>SUM(INICIO!Q107)</f>
        <v>1758.9515999999999</v>
      </c>
      <c r="I16" s="43"/>
      <c r="J16" s="43" t="s">
        <v>255</v>
      </c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2089.6345007999998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2070.2860332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2089.6345007999998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43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1.4988132000000001</v>
      </c>
      <c r="D24" s="22">
        <f>SUM(C34*0.04)+C34</f>
        <v>1.4567904</v>
      </c>
      <c r="E24" s="22">
        <f>SUM(C34*0.04)+C34</f>
        <v>1.4567904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1.4988132000000001</v>
      </c>
      <c r="D25" s="22">
        <f>SUM(C34*0.04)+C34</f>
        <v>1.4567904</v>
      </c>
      <c r="E25" s="22">
        <f>SUM(C34*0.04)+C34</f>
        <v>1.4567904</v>
      </c>
      <c r="F25" s="16"/>
      <c r="G25" s="18">
        <v>2</v>
      </c>
      <c r="H25" s="22">
        <f>SUM(H34*0.14)+H34</f>
        <v>1.3385879999999999</v>
      </c>
      <c r="I25" s="22">
        <f>SUM(H34*0.11)+H34</f>
        <v>1.3033619999999999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1.5128208000000001</v>
      </c>
      <c r="D26" s="22">
        <f>SUM(C34*0.05)+C34</f>
        <v>1.470798</v>
      </c>
      <c r="E26" s="22">
        <f>SUM(C34*0.05)+C34</f>
        <v>1.470798</v>
      </c>
      <c r="F26" s="16"/>
      <c r="G26" s="18">
        <v>2.5</v>
      </c>
      <c r="H26" s="22">
        <f>SUM(H34*0.12)+H34</f>
        <v>1.3151039999999998</v>
      </c>
      <c r="I26" s="22">
        <f>SUM(H34*0.09)+H34</f>
        <v>1.2798779999999998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1.5408360000000001</v>
      </c>
      <c r="D27" s="22">
        <f>SUM(C34*0.07)+C34</f>
        <v>1.4988132000000001</v>
      </c>
      <c r="E27" s="22">
        <f>SUM(C34*0.07)+C34</f>
        <v>1.4988132000000001</v>
      </c>
      <c r="F27" s="16"/>
      <c r="G27" s="18">
        <v>3.17</v>
      </c>
      <c r="H27" s="22">
        <f>SUM(H34*0.11)+H34</f>
        <v>1.3033619999999999</v>
      </c>
      <c r="I27" s="22">
        <f>SUM(H34*0.08)+H34</f>
        <v>1.2681359999999999</v>
      </c>
      <c r="J27" s="22">
        <f>SUM(H34*0.08)+H34</f>
        <v>1.2681359999999999</v>
      </c>
      <c r="K27" s="9"/>
    </row>
    <row r="28" spans="1:11" s="1" customFormat="1" ht="15.75" x14ac:dyDescent="0.25">
      <c r="B28" s="17">
        <v>0.65</v>
      </c>
      <c r="C28" s="22">
        <f>SUM(C34*0.12)+C34</f>
        <v>1.5688512000000001</v>
      </c>
      <c r="D28" s="22">
        <f>SUM(C34*0.09)+C34</f>
        <v>1.5268284000000001</v>
      </c>
      <c r="E28" s="23" t="s">
        <v>2</v>
      </c>
      <c r="F28" s="16"/>
      <c r="G28" s="18" t="s">
        <v>4</v>
      </c>
      <c r="H28" s="22">
        <f>SUM(H34*0.1)+H34</f>
        <v>1.29162</v>
      </c>
      <c r="I28" s="22">
        <f>SUM(H34*0.07+H34)</f>
        <v>1.256394</v>
      </c>
      <c r="J28" s="22">
        <f>SUM(H34*0.07)+H34</f>
        <v>1.256394</v>
      </c>
      <c r="K28" s="9"/>
    </row>
    <row r="29" spans="1:11" s="1" customFormat="1" ht="15.75" x14ac:dyDescent="0.25">
      <c r="B29" s="17">
        <v>24</v>
      </c>
      <c r="C29" s="22">
        <f>SUM(C34*0.16)+C34</f>
        <v>1.6248815999999999</v>
      </c>
      <c r="D29" s="22">
        <f>SUM(C34*0.13)+C34</f>
        <v>1.5828587999999999</v>
      </c>
      <c r="E29" s="23" t="s">
        <v>2</v>
      </c>
      <c r="F29" s="16"/>
      <c r="G29" s="18">
        <v>6.35</v>
      </c>
      <c r="H29" s="22">
        <f>SUM(H34*0.11)+H34</f>
        <v>1.3033619999999999</v>
      </c>
      <c r="I29" s="22">
        <f>SUM(H34*0.08)+H34</f>
        <v>1.2681359999999999</v>
      </c>
      <c r="J29" s="22">
        <f>SUM(H34*0.08)+H34</f>
        <v>1.2681359999999999</v>
      </c>
      <c r="K29" s="9"/>
    </row>
    <row r="30" spans="1:11" s="1" customFormat="1" ht="15.75" x14ac:dyDescent="0.25">
      <c r="B30" s="17">
        <v>26</v>
      </c>
      <c r="C30" s="22">
        <f>SUM(C34*0.2)+C34</f>
        <v>1.680912</v>
      </c>
      <c r="D30" s="22">
        <f>SUM(C34*0.15)+C34</f>
        <v>1.6108739999999999</v>
      </c>
      <c r="E30" s="23" t="s">
        <v>2</v>
      </c>
      <c r="F30" s="16"/>
      <c r="G30" s="18">
        <v>8</v>
      </c>
      <c r="H30" s="22">
        <f>SUM(H34*0.11)+H34</f>
        <v>1.3033619999999999</v>
      </c>
      <c r="I30" s="22">
        <f>SUM(H34*0.08)+H34</f>
        <v>1.2681359999999999</v>
      </c>
      <c r="J30" s="22">
        <f>SUM(H34*0.08)+H34</f>
        <v>1.2681359999999999</v>
      </c>
      <c r="K30" s="9"/>
    </row>
    <row r="31" spans="1:11" s="1" customFormat="1" ht="15.75" x14ac:dyDescent="0.25">
      <c r="B31" s="17">
        <v>27</v>
      </c>
      <c r="C31" s="22">
        <f>SUM(C34*0.26)+C34</f>
        <v>1.7649576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1.3151039999999998</v>
      </c>
      <c r="I31" s="22">
        <f>SUM(H34*0.09)+H34</f>
        <v>1.2798779999999998</v>
      </c>
      <c r="J31" s="22">
        <f>SUM(H34*0.1)+H34</f>
        <v>1.29162</v>
      </c>
      <c r="K31" s="9"/>
    </row>
    <row r="32" spans="1:11" s="1" customFormat="1" ht="15.75" x14ac:dyDescent="0.25">
      <c r="B32" s="17">
        <v>30</v>
      </c>
      <c r="C32" s="22">
        <f>SUM(C34*0.32)+C34</f>
        <v>1.8490032000000001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1.3151039999999998</v>
      </c>
      <c r="I32" s="22">
        <f>SUM(H34*0.09)+H34</f>
        <v>1.2798779999999998</v>
      </c>
      <c r="J32" s="22">
        <f>SUM(H34*0.1)+H34</f>
        <v>1.29162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SUM(INICIO!J107)</f>
        <v>1.40076</v>
      </c>
      <c r="D34" s="10"/>
      <c r="E34" s="10"/>
      <c r="F34" s="10"/>
      <c r="G34" s="26" t="s">
        <v>5</v>
      </c>
      <c r="H34" s="27">
        <f>SUM(INICIO!P107)</f>
        <v>1.1741999999999999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1.3949495999999999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1.3820334000000001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1.3949495999999999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PROPER(INICIO!D108)</f>
        <v>Minoli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2390.7458329999999</v>
      </c>
      <c r="D6" s="40">
        <f>SUM(C16*0.04)+C16</f>
        <v>2323.7155760000001</v>
      </c>
      <c r="E6" s="40">
        <f>SUM(C16*0.04)+C16</f>
        <v>2323.7155760000001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</row>
    <row r="7" spans="1:11" ht="15.75" x14ac:dyDescent="0.25">
      <c r="A7" s="1"/>
      <c r="B7" s="17">
        <v>18</v>
      </c>
      <c r="C7" s="40">
        <f>SUM(C16*0.07)+C16</f>
        <v>2390.7458329999999</v>
      </c>
      <c r="D7" s="40">
        <f>SUM(C16*0.04)+C16</f>
        <v>2323.7155760000001</v>
      </c>
      <c r="E7" s="40">
        <f>SUM(C16*0.04)+C16</f>
        <v>2323.7155760000001</v>
      </c>
      <c r="F7" s="16"/>
      <c r="G7" s="18">
        <v>2</v>
      </c>
      <c r="H7" s="40">
        <f>SUM(H16*0.14)+H16</f>
        <v>2199.8849039999996</v>
      </c>
      <c r="I7" s="40">
        <f>SUM(H16*0.11)+H16</f>
        <v>2141.9931959999994</v>
      </c>
      <c r="J7" s="40" t="s">
        <v>2</v>
      </c>
      <c r="K7" s="44"/>
    </row>
    <row r="8" spans="1:11" ht="15.75" x14ac:dyDescent="0.25">
      <c r="A8" s="1"/>
      <c r="B8" s="17" t="s">
        <v>3</v>
      </c>
      <c r="C8" s="40">
        <f>SUM(C16*0.08)+C16</f>
        <v>2413.0892519999998</v>
      </c>
      <c r="D8" s="40">
        <f>SUM(C16*0.05)+C16</f>
        <v>2346.0589949999999</v>
      </c>
      <c r="E8" s="40">
        <f>SUM(C16*0.05)+C16</f>
        <v>2346.0589949999999</v>
      </c>
      <c r="F8" s="16"/>
      <c r="G8" s="18">
        <v>2.5</v>
      </c>
      <c r="H8" s="40">
        <f>SUM(H16*0.12)+H16</f>
        <v>2161.2904319999993</v>
      </c>
      <c r="I8" s="40">
        <f>SUM(H16*0.09)+H16</f>
        <v>2103.3987239999997</v>
      </c>
      <c r="J8" s="40" t="s">
        <v>2</v>
      </c>
      <c r="K8" s="44"/>
    </row>
    <row r="9" spans="1:11" ht="15.75" x14ac:dyDescent="0.25">
      <c r="A9" s="1"/>
      <c r="B9" s="17">
        <v>22</v>
      </c>
      <c r="C9" s="40">
        <f>SUM(C16*0.1)+C16</f>
        <v>2457.7760899999998</v>
      </c>
      <c r="D9" s="40">
        <f>SUM(C16*0.07)+C16</f>
        <v>2390.7458329999999</v>
      </c>
      <c r="E9" s="40">
        <f>SUM(C16*0.07)+C16</f>
        <v>2390.7458329999999</v>
      </c>
      <c r="F9" s="16"/>
      <c r="G9" s="18">
        <v>3.17</v>
      </c>
      <c r="H9" s="40">
        <f>SUM(H16*0.11)+H16</f>
        <v>2141.9931959999994</v>
      </c>
      <c r="I9" s="40">
        <f>SUM(H16*0.08)+H16</f>
        <v>2084.1014879999993</v>
      </c>
      <c r="J9" s="40">
        <f>SUM(H16*0.08)+H16</f>
        <v>2084.1014879999993</v>
      </c>
      <c r="K9" s="44"/>
    </row>
    <row r="10" spans="1:11" ht="15.75" x14ac:dyDescent="0.25">
      <c r="A10" s="1"/>
      <c r="B10" s="17">
        <v>0.65</v>
      </c>
      <c r="C10" s="40">
        <f>SUM(C16*0.12)+C16</f>
        <v>2502.4629279999999</v>
      </c>
      <c r="D10" s="40">
        <f>SUM(C16*0.09)+C16</f>
        <v>2435.432671</v>
      </c>
      <c r="E10" s="40" t="s">
        <v>2</v>
      </c>
      <c r="F10" s="16"/>
      <c r="G10" s="18" t="s">
        <v>4</v>
      </c>
      <c r="H10" s="40">
        <f>SUM(H16*0.1)+H16</f>
        <v>2122.6959599999996</v>
      </c>
      <c r="I10" s="40">
        <f>SUM(H16*0.07+H16)</f>
        <v>2064.8042519999995</v>
      </c>
      <c r="J10" s="40">
        <f>SUM(H16*0.07)+H16</f>
        <v>2064.8042519999995</v>
      </c>
      <c r="K10" s="44"/>
    </row>
    <row r="11" spans="1:11" ht="15.75" x14ac:dyDescent="0.25">
      <c r="A11" s="1"/>
      <c r="B11" s="17">
        <v>24</v>
      </c>
      <c r="C11" s="40">
        <f>SUM(C16*0.16)+C16</f>
        <v>2591.8366040000001</v>
      </c>
      <c r="D11" s="40">
        <f>SUM(C16*0.13)+C16</f>
        <v>2524.8063469999997</v>
      </c>
      <c r="E11" s="40" t="s">
        <v>2</v>
      </c>
      <c r="F11" s="16"/>
      <c r="G11" s="18">
        <v>6.35</v>
      </c>
      <c r="H11" s="40">
        <f>SUM(H16*0.11)+H16</f>
        <v>2141.9931959999994</v>
      </c>
      <c r="I11" s="40">
        <f>SUM(H16*0.08)+H16</f>
        <v>2084.1014879999993</v>
      </c>
      <c r="J11" s="40">
        <f>SUM(H16*0.08)+H16</f>
        <v>2084.1014879999993</v>
      </c>
      <c r="K11" s="44"/>
    </row>
    <row r="12" spans="1:11" ht="15.75" x14ac:dyDescent="0.25">
      <c r="A12" s="1"/>
      <c r="B12" s="17">
        <v>26</v>
      </c>
      <c r="C12" s="40">
        <f>SUM(C16*0.2)+C16</f>
        <v>2681.2102799999998</v>
      </c>
      <c r="D12" s="40">
        <f>SUM(C16*0.15)+C16</f>
        <v>2569.4931849999998</v>
      </c>
      <c r="E12" s="40" t="s">
        <v>2</v>
      </c>
      <c r="F12" s="16"/>
      <c r="G12" s="18">
        <v>8</v>
      </c>
      <c r="H12" s="40">
        <f>SUM(H16*0.11)+H16</f>
        <v>2141.9931959999994</v>
      </c>
      <c r="I12" s="40">
        <f>SUM(H16*0.08)+H16</f>
        <v>2084.1014879999993</v>
      </c>
      <c r="J12" s="40">
        <f>SUM(H16*0.08)+H16</f>
        <v>2084.1014879999993</v>
      </c>
      <c r="K12" s="44"/>
    </row>
    <row r="13" spans="1:11" ht="15.75" x14ac:dyDescent="0.25">
      <c r="A13" s="1"/>
      <c r="B13" s="17">
        <v>27</v>
      </c>
      <c r="C13" s="40">
        <f>SUM(C16*0.26)+C16</f>
        <v>2815.270794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2161.2904319999993</v>
      </c>
      <c r="I13" s="40">
        <f>SUM(H16*0.09)+H16</f>
        <v>2103.3987239999997</v>
      </c>
      <c r="J13" s="40">
        <f>SUM(H16*0.09)+H16</f>
        <v>2103.3987239999997</v>
      </c>
      <c r="K13" s="44"/>
    </row>
    <row r="14" spans="1:11" ht="15.75" x14ac:dyDescent="0.25">
      <c r="A14" s="1"/>
      <c r="B14" s="17">
        <v>30</v>
      </c>
      <c r="C14" s="40">
        <f>SUM(C16*0.32)+C16</f>
        <v>2949.3313079999998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2161.2904319999993</v>
      </c>
      <c r="I14" s="40">
        <f>SUM(H16*0.09)+H16</f>
        <v>2103.3987239999997</v>
      </c>
      <c r="J14" s="40">
        <f>SUM(H16*0.09)+H16</f>
        <v>2103.3987239999997</v>
      </c>
      <c r="K14" s="44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44"/>
    </row>
    <row r="16" spans="1:11" ht="16.5" thickBot="1" x14ac:dyDescent="0.3">
      <c r="A16" s="1"/>
      <c r="B16" s="14" t="s">
        <v>5</v>
      </c>
      <c r="C16" s="41">
        <f>SUM(INICIO!K108)</f>
        <v>2234.3418999999999</v>
      </c>
      <c r="D16" s="43"/>
      <c r="E16" s="43"/>
      <c r="F16" s="10"/>
      <c r="G16" s="26" t="s">
        <v>5</v>
      </c>
      <c r="H16" s="42">
        <f>SUM(INICIO!Q108)</f>
        <v>1929.7235999999996</v>
      </c>
      <c r="I16" s="43"/>
      <c r="J16" s="43"/>
      <c r="K16" s="44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44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2292.5116367999995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2271.2846771999994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2292.5116367999995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1.5959584999999998</v>
      </c>
      <c r="D24" s="22">
        <f>SUM(C34*0.04)+C34</f>
        <v>1.551212</v>
      </c>
      <c r="E24" s="22">
        <f>SUM(C34*0.04)+C34</f>
        <v>1.551212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1.5959584999999998</v>
      </c>
      <c r="D25" s="22">
        <f>SUM(C34*0.04)+C34</f>
        <v>1.551212</v>
      </c>
      <c r="E25" s="22">
        <f>SUM(C34*0.04)+C34</f>
        <v>1.551212</v>
      </c>
      <c r="F25" s="16"/>
      <c r="G25" s="18">
        <v>2</v>
      </c>
      <c r="H25" s="22">
        <f>SUM(H34*0.14)+H34</f>
        <v>1.4685479999999997</v>
      </c>
      <c r="I25" s="22">
        <f>SUM(H34*0.11)+H34</f>
        <v>1.4299019999999998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1.6108739999999999</v>
      </c>
      <c r="D26" s="22">
        <f>SUM(C34*0.05)+C34</f>
        <v>1.5661274999999999</v>
      </c>
      <c r="E26" s="22">
        <f>SUM(C34*0.05)+C34</f>
        <v>1.5661274999999999</v>
      </c>
      <c r="F26" s="16"/>
      <c r="G26" s="18">
        <v>2.5</v>
      </c>
      <c r="H26" s="22">
        <f>SUM(H34*0.12)+H34</f>
        <v>1.4427839999999998</v>
      </c>
      <c r="I26" s="22">
        <f>SUM(H34*0.09)+H34</f>
        <v>1.4041379999999997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1.6407049999999999</v>
      </c>
      <c r="D27" s="22">
        <f>SUM(C34*0.07)+C34</f>
        <v>1.5959584999999998</v>
      </c>
      <c r="E27" s="22">
        <f>SUM(C34*0.07)+C34</f>
        <v>1.5959584999999998</v>
      </c>
      <c r="F27" s="16"/>
      <c r="G27" s="18">
        <v>3.17</v>
      </c>
      <c r="H27" s="22">
        <f>SUM(H34*0.11)+H34</f>
        <v>1.4299019999999998</v>
      </c>
      <c r="I27" s="22">
        <f>SUM(H34*0.08)+H34</f>
        <v>1.3912559999999998</v>
      </c>
      <c r="J27" s="22">
        <f>SUM(H34*0.08)+H34</f>
        <v>1.3912559999999998</v>
      </c>
      <c r="K27" s="9"/>
    </row>
    <row r="28" spans="1:11" s="1" customFormat="1" ht="15.75" x14ac:dyDescent="0.25">
      <c r="B28" s="17">
        <v>0.65</v>
      </c>
      <c r="C28" s="22">
        <f>SUM(C34*0.12)+C34</f>
        <v>1.6705359999999998</v>
      </c>
      <c r="D28" s="22">
        <f>SUM(C34*0.09)+C34</f>
        <v>1.6257895</v>
      </c>
      <c r="E28" s="23" t="s">
        <v>2</v>
      </c>
      <c r="F28" s="16"/>
      <c r="G28" s="18" t="s">
        <v>4</v>
      </c>
      <c r="H28" s="22">
        <f>SUM(H34*0.1)+H34</f>
        <v>1.4170199999999997</v>
      </c>
      <c r="I28" s="22">
        <f>SUM(H34*0.07+H34)</f>
        <v>1.3783739999999998</v>
      </c>
      <c r="J28" s="22">
        <f>SUM(H34*0.07)+H34</f>
        <v>1.3783739999999998</v>
      </c>
      <c r="K28" s="9"/>
    </row>
    <row r="29" spans="1:11" s="1" customFormat="1" ht="15.75" x14ac:dyDescent="0.25">
      <c r="B29" s="17">
        <v>24</v>
      </c>
      <c r="C29" s="22">
        <f>SUM(C34*0.16)+C34</f>
        <v>1.7301979999999999</v>
      </c>
      <c r="D29" s="22">
        <f>SUM(C34*0.13)+C34</f>
        <v>1.6854514999999999</v>
      </c>
      <c r="E29" s="23" t="s">
        <v>2</v>
      </c>
      <c r="F29" s="16"/>
      <c r="G29" s="18">
        <v>6.35</v>
      </c>
      <c r="H29" s="22">
        <f>SUM(H34*0.11)+H34</f>
        <v>1.4299019999999998</v>
      </c>
      <c r="I29" s="22">
        <f>SUM(H34*0.08)+H34</f>
        <v>1.3912559999999998</v>
      </c>
      <c r="J29" s="22">
        <f>SUM(H34*0.08)+H34</f>
        <v>1.3912559999999998</v>
      </c>
      <c r="K29" s="9"/>
    </row>
    <row r="30" spans="1:11" s="1" customFormat="1" ht="15.75" x14ac:dyDescent="0.25">
      <c r="B30" s="17">
        <v>26</v>
      </c>
      <c r="C30" s="22">
        <f>SUM(C34*0.2)+C34</f>
        <v>1.78986</v>
      </c>
      <c r="D30" s="22">
        <f>SUM(C34*0.15)+C34</f>
        <v>1.7152824999999998</v>
      </c>
      <c r="E30" s="23" t="s">
        <v>2</v>
      </c>
      <c r="F30" s="16"/>
      <c r="G30" s="18">
        <v>8</v>
      </c>
      <c r="H30" s="22">
        <f>SUM(H34*0.11)+H34</f>
        <v>1.4299019999999998</v>
      </c>
      <c r="I30" s="22">
        <f>SUM(H34*0.08)+H34</f>
        <v>1.3912559999999998</v>
      </c>
      <c r="J30" s="22">
        <f>SUM(H34*0.08)+H34</f>
        <v>1.3912559999999998</v>
      </c>
      <c r="K30" s="9"/>
    </row>
    <row r="31" spans="1:11" s="1" customFormat="1" ht="15.75" x14ac:dyDescent="0.25">
      <c r="B31" s="17">
        <v>27</v>
      </c>
      <c r="C31" s="22">
        <f>SUM(C34*0.26)+C34</f>
        <v>1.8793530000000001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1.4427839999999998</v>
      </c>
      <c r="I31" s="22">
        <f>SUM(H34*0.09)+H34</f>
        <v>1.4041379999999997</v>
      </c>
      <c r="J31" s="22">
        <f>SUM(H34*0.09)+H34</f>
        <v>1.4041379999999997</v>
      </c>
      <c r="K31" s="9"/>
    </row>
    <row r="32" spans="1:11" s="1" customFormat="1" ht="15.75" x14ac:dyDescent="0.25">
      <c r="B32" s="17">
        <v>30</v>
      </c>
      <c r="C32" s="22">
        <f>SUM(C34*0.32)+C34</f>
        <v>1.9688459999999999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1.4427839999999998</v>
      </c>
      <c r="I32" s="22">
        <f>SUM(H34*0.09)+H34</f>
        <v>1.4041379999999997</v>
      </c>
      <c r="J32" s="22">
        <f>SUM(H34*0.09)+H34</f>
        <v>1.4041379999999997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SUM(INICIO!J108)</f>
        <v>1.4915499999999999</v>
      </c>
      <c r="D34" s="10"/>
      <c r="E34" s="10"/>
      <c r="F34" s="10"/>
      <c r="G34" s="26" t="s">
        <v>5</v>
      </c>
      <c r="H34" s="27">
        <f>SUM(INICIO!P108)</f>
        <v>1.2881999999999998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1.5303815999999999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1.5162113999999998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1.5303815999999999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K40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PROPER(INICIO!D109)</f>
        <v xml:space="preserve"> 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2286.800362</v>
      </c>
      <c r="D6" s="40">
        <f>SUM(C16*0.04)+C16</f>
        <v>2222.6844639999999</v>
      </c>
      <c r="E6" s="40">
        <f>SUM(C16*0.04)+C16</f>
        <v>2222.6844639999999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2286.800362</v>
      </c>
      <c r="D7" s="40">
        <f>SUM(C16*0.04)+C16</f>
        <v>2222.6844639999999</v>
      </c>
      <c r="E7" s="40">
        <f>SUM(C16*0.04)+C16</f>
        <v>2222.6844639999999</v>
      </c>
      <c r="F7" s="16"/>
      <c r="G7" s="18">
        <v>2</v>
      </c>
      <c r="H7" s="40">
        <f>SUM(H16*0.14)+H16</f>
        <v>2102.544864</v>
      </c>
      <c r="I7" s="40">
        <f>SUM(H16*0.11)+H16</f>
        <v>2047.2147359999999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2308.1723279999997</v>
      </c>
      <c r="D8" s="40">
        <f>SUM(C16*0.05)+C16</f>
        <v>2244.0564299999996</v>
      </c>
      <c r="E8" s="40">
        <f>SUM(C16*0.05)+C16</f>
        <v>2244.0564299999996</v>
      </c>
      <c r="F8" s="16"/>
      <c r="G8" s="18">
        <v>2.5</v>
      </c>
      <c r="H8" s="40">
        <f>SUM(H16*0.12)+H16</f>
        <v>2065.6581119999996</v>
      </c>
      <c r="I8" s="40">
        <f>SUM(H16*0.09)+H16</f>
        <v>2010.3279839999998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2350.91626</v>
      </c>
      <c r="D9" s="40">
        <f>SUM(C16*0.07)+C16</f>
        <v>2286.800362</v>
      </c>
      <c r="E9" s="40">
        <f>SUM(C16*0.07)+C16</f>
        <v>2286.800362</v>
      </c>
      <c r="F9" s="16"/>
      <c r="G9" s="18">
        <v>3.17</v>
      </c>
      <c r="H9" s="40">
        <f>SUM(H16*0.11)+H16</f>
        <v>2047.2147359999999</v>
      </c>
      <c r="I9" s="40">
        <f>SUM(H16*0.08)+H16</f>
        <v>1991.8846079999998</v>
      </c>
      <c r="J9" s="40">
        <f>SUM(H16*0.08)+H16</f>
        <v>1991.8846079999998</v>
      </c>
      <c r="K9" s="9"/>
    </row>
    <row r="10" spans="1:11" ht="15.75" x14ac:dyDescent="0.25">
      <c r="A10" s="1"/>
      <c r="B10" s="17">
        <v>0.65</v>
      </c>
      <c r="C10" s="40">
        <f>SUM(C16*0.12)+C16</f>
        <v>2393.6601919999998</v>
      </c>
      <c r="D10" s="40">
        <f>SUM(C16*0.09)+C16</f>
        <v>2329.5442939999998</v>
      </c>
      <c r="E10" s="40" t="s">
        <v>2</v>
      </c>
      <c r="F10" s="16"/>
      <c r="G10" s="18" t="s">
        <v>4</v>
      </c>
      <c r="H10" s="40">
        <f>SUM(H16*0.1)+H16</f>
        <v>2028.7713599999997</v>
      </c>
      <c r="I10" s="40">
        <f>SUM(H16*0.07+H16)</f>
        <v>1973.4412319999999</v>
      </c>
      <c r="J10" s="40">
        <f>SUM(H16*0.07)+H16</f>
        <v>1973.4412319999999</v>
      </c>
      <c r="K10" s="9"/>
    </row>
    <row r="11" spans="1:11" ht="15.75" x14ac:dyDescent="0.25">
      <c r="A11" s="1"/>
      <c r="B11" s="17">
        <v>24</v>
      </c>
      <c r="C11" s="40">
        <f>SUM(C16*0.16)+C16</f>
        <v>2479.1480559999995</v>
      </c>
      <c r="D11" s="40">
        <f>SUM(C16*0.13)+C16</f>
        <v>2415.032158</v>
      </c>
      <c r="E11" s="40" t="s">
        <v>2</v>
      </c>
      <c r="F11" s="16"/>
      <c r="G11" s="18">
        <v>6.35</v>
      </c>
      <c r="H11" s="40">
        <f>SUM(H16*0.11)+H16</f>
        <v>2047.2147359999999</v>
      </c>
      <c r="I11" s="40">
        <f>SUM(H16*0.08)+H16</f>
        <v>1991.8846079999998</v>
      </c>
      <c r="J11" s="40">
        <f>SUM(H16*0.08)+H16</f>
        <v>1991.8846079999998</v>
      </c>
      <c r="K11" s="9"/>
    </row>
    <row r="12" spans="1:11" ht="15.75" x14ac:dyDescent="0.25">
      <c r="A12" s="1"/>
      <c r="B12" s="17">
        <v>26</v>
      </c>
      <c r="C12" s="40">
        <f>SUM(C16*0.2)+C16</f>
        <v>2564.6359199999997</v>
      </c>
      <c r="D12" s="40">
        <f>SUM(C16*0.15)+C16</f>
        <v>2457.7760899999998</v>
      </c>
      <c r="E12" s="40" t="s">
        <v>2</v>
      </c>
      <c r="F12" s="16"/>
      <c r="G12" s="18">
        <v>8</v>
      </c>
      <c r="H12" s="40">
        <f>SUM(H16*0.11)+H16</f>
        <v>2047.2147359999999</v>
      </c>
      <c r="I12" s="40">
        <f>SUM(H16*0.08)+H16</f>
        <v>1991.8846079999998</v>
      </c>
      <c r="J12" s="40">
        <f>SUM(H16*0.08)+H16</f>
        <v>1991.8846079999998</v>
      </c>
      <c r="K12" s="9"/>
    </row>
    <row r="13" spans="1:11" ht="15.75" x14ac:dyDescent="0.25">
      <c r="A13" s="1"/>
      <c r="B13" s="17">
        <v>27</v>
      </c>
      <c r="C13" s="40">
        <f>SUM(C16*0.26)+C16</f>
        <v>2692.8677159999997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2065.6581119999996</v>
      </c>
      <c r="I13" s="40">
        <f>SUM(H16*0.09)+H16</f>
        <v>2010.3279839999998</v>
      </c>
      <c r="J13" s="40">
        <f>SUM(H16*0.1)+H16</f>
        <v>2028.7713599999997</v>
      </c>
      <c r="K13" s="9"/>
    </row>
    <row r="14" spans="1:11" ht="15.75" x14ac:dyDescent="0.25">
      <c r="A14" s="1"/>
      <c r="B14" s="17">
        <v>30</v>
      </c>
      <c r="C14" s="40">
        <f>SUM(C16*0.32)+C16</f>
        <v>2821.0995119999998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2065.6581119999996</v>
      </c>
      <c r="I14" s="40">
        <f>SUM(H16*0.09)+H16</f>
        <v>2010.3279839999998</v>
      </c>
      <c r="J14" s="40">
        <f>SUM(H16*0.1)+H16</f>
        <v>2028.7713599999997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SUM(INICIO!K109)</f>
        <v>2137.1965999999998</v>
      </c>
      <c r="D16" s="43"/>
      <c r="E16" s="43"/>
      <c r="F16" s="10"/>
      <c r="G16" s="26" t="s">
        <v>5</v>
      </c>
      <c r="H16" s="42">
        <f>SUM(INICIO!Q109)</f>
        <v>1844.3375999999998</v>
      </c>
      <c r="I16" s="43"/>
      <c r="J16" s="43"/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10"/>
      <c r="I17" s="10"/>
      <c r="J17" s="10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2191.0730687999999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2170.7853551999997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2191.0730687999999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1.5265689999999998</v>
      </c>
      <c r="D24" s="22">
        <f>SUM(C34*0.04)+C34</f>
        <v>1.4837679999999998</v>
      </c>
      <c r="E24" s="22">
        <f>SUM(C34*0.04)+C34</f>
        <v>1.4837679999999998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1.5265689999999998</v>
      </c>
      <c r="D25" s="22">
        <f>SUM(C34*0.04)+C34</f>
        <v>1.4837679999999998</v>
      </c>
      <c r="E25" s="22">
        <f>SUM(C34*0.04)+C34</f>
        <v>1.4837679999999998</v>
      </c>
      <c r="F25" s="16"/>
      <c r="G25" s="18">
        <v>2</v>
      </c>
      <c r="H25" s="22">
        <f>SUM(H34*0.14)+H34</f>
        <v>1.4035679999999999</v>
      </c>
      <c r="I25" s="22">
        <f>SUM(H34*0.11)+H34</f>
        <v>1.3666319999999998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1.5408359999999999</v>
      </c>
      <c r="D26" s="22">
        <f>SUM(C34*0.05)+C34</f>
        <v>1.4980349999999998</v>
      </c>
      <c r="E26" s="22">
        <f>SUM(C34*0.05)+C34</f>
        <v>1.4980349999999998</v>
      </c>
      <c r="F26" s="16"/>
      <c r="G26" s="18">
        <v>2.5</v>
      </c>
      <c r="H26" s="22">
        <f>SUM(H34*0.12)+H34</f>
        <v>1.3789439999999997</v>
      </c>
      <c r="I26" s="22">
        <f>SUM(H34*0.09)+H34</f>
        <v>1.3420079999999999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1.5693699999999999</v>
      </c>
      <c r="D27" s="22">
        <f>SUM(C34*0.07)+C34</f>
        <v>1.5265689999999998</v>
      </c>
      <c r="E27" s="22">
        <f>SUM(C34*0.07)+C34</f>
        <v>1.5265689999999998</v>
      </c>
      <c r="F27" s="16"/>
      <c r="G27" s="18">
        <v>3.17</v>
      </c>
      <c r="H27" s="22">
        <f>SUM(H34*0.11)+H34</f>
        <v>1.3666319999999998</v>
      </c>
      <c r="I27" s="22">
        <f>SUM(H34*0.08)+H34</f>
        <v>1.3296959999999998</v>
      </c>
      <c r="J27" s="22">
        <f>SUM(H34*0.08)+H34</f>
        <v>1.3296959999999998</v>
      </c>
      <c r="K27" s="9"/>
    </row>
    <row r="28" spans="1:11" s="1" customFormat="1" ht="15.75" x14ac:dyDescent="0.25">
      <c r="B28" s="17">
        <v>0.65</v>
      </c>
      <c r="C28" s="22">
        <f>SUM(C34*0.12)+C34</f>
        <v>1.5979039999999998</v>
      </c>
      <c r="D28" s="22">
        <f>SUM(C34*0.09)+C34</f>
        <v>1.5551029999999999</v>
      </c>
      <c r="E28" s="23" t="s">
        <v>2</v>
      </c>
      <c r="F28" s="16"/>
      <c r="G28" s="18" t="s">
        <v>4</v>
      </c>
      <c r="H28" s="22">
        <f>SUM(H34*0.1)+H34</f>
        <v>1.3543199999999997</v>
      </c>
      <c r="I28" s="22">
        <f>SUM(H34*0.07+H34)</f>
        <v>1.3173839999999999</v>
      </c>
      <c r="J28" s="22">
        <f>SUM(H34*0.07)+H34</f>
        <v>1.3173839999999999</v>
      </c>
      <c r="K28" s="9"/>
    </row>
    <row r="29" spans="1:11" s="1" customFormat="1" ht="15.75" x14ac:dyDescent="0.25">
      <c r="B29" s="17">
        <v>24</v>
      </c>
      <c r="C29" s="22">
        <f>SUM(C34*0.16)+C34</f>
        <v>1.6549719999999999</v>
      </c>
      <c r="D29" s="22">
        <f>SUM(C34*0.13)+C34</f>
        <v>1.6121709999999998</v>
      </c>
      <c r="E29" s="23" t="s">
        <v>2</v>
      </c>
      <c r="F29" s="16"/>
      <c r="G29" s="18">
        <v>6.35</v>
      </c>
      <c r="H29" s="22">
        <f>SUM(H34*0.11)+H34</f>
        <v>1.3666319999999998</v>
      </c>
      <c r="I29" s="22">
        <f>SUM(H34*0.08)+H34</f>
        <v>1.3296959999999998</v>
      </c>
      <c r="J29" s="22">
        <f>SUM(H34*0.08)+H34</f>
        <v>1.3296959999999998</v>
      </c>
      <c r="K29" s="9"/>
    </row>
    <row r="30" spans="1:11" s="1" customFormat="1" ht="15.75" x14ac:dyDescent="0.25">
      <c r="B30" s="17">
        <v>26</v>
      </c>
      <c r="C30" s="22">
        <f>SUM(C34*0.2)+C34</f>
        <v>1.7120399999999998</v>
      </c>
      <c r="D30" s="22">
        <f>SUM(C34*0.15)+C34</f>
        <v>1.6407049999999999</v>
      </c>
      <c r="E30" s="23" t="s">
        <v>2</v>
      </c>
      <c r="F30" s="16"/>
      <c r="G30" s="18">
        <v>8</v>
      </c>
      <c r="H30" s="22">
        <f>SUM(H34*0.11)+H34</f>
        <v>1.3666319999999998</v>
      </c>
      <c r="I30" s="22">
        <f>SUM(H34*0.08)+H34</f>
        <v>1.3296959999999998</v>
      </c>
      <c r="J30" s="22">
        <f>SUM(H34*0.08)+H34</f>
        <v>1.3296959999999998</v>
      </c>
      <c r="K30" s="9"/>
    </row>
    <row r="31" spans="1:11" s="1" customFormat="1" ht="15.75" x14ac:dyDescent="0.25">
      <c r="B31" s="17">
        <v>27</v>
      </c>
      <c r="C31" s="22">
        <f>SUM(C34*0.26)+C34</f>
        <v>1.7976419999999997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1.3789439999999997</v>
      </c>
      <c r="I31" s="22">
        <f>SUM(H34*0.09)+H34</f>
        <v>1.3420079999999999</v>
      </c>
      <c r="J31" s="22">
        <f>SUM(H34*0.1)+H34</f>
        <v>1.3543199999999997</v>
      </c>
      <c r="K31" s="9"/>
    </row>
    <row r="32" spans="1:11" s="1" customFormat="1" ht="15.75" x14ac:dyDescent="0.25">
      <c r="B32" s="17">
        <v>30</v>
      </c>
      <c r="C32" s="22">
        <f>SUM(C34*0.32)+C34</f>
        <v>1.8832439999999999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1.3789439999999997</v>
      </c>
      <c r="I32" s="22">
        <f>SUM(H34*0.09)+H34</f>
        <v>1.3420079999999999</v>
      </c>
      <c r="J32" s="22">
        <f>SUM(H34*0.1)+H34</f>
        <v>1.3543199999999997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SUM(INICIO!J109)</f>
        <v>1.4266999999999999</v>
      </c>
      <c r="D34" s="10"/>
      <c r="E34" s="10"/>
      <c r="F34" s="10"/>
      <c r="G34" s="26" t="s">
        <v>5</v>
      </c>
      <c r="H34" s="27">
        <f>SUM(INICIO!P109)</f>
        <v>1.2311999999999999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1.4626655999999998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1.4491223999999998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1.4626655999999998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x14ac:dyDescent="0.25"/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K41"/>
  <sheetViews>
    <sheetView showGridLines="0" workbookViewId="0"/>
  </sheetViews>
  <sheetFormatPr baseColWidth="10" defaultRowHeight="15" x14ac:dyDescent="0.25"/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thickBot="1" x14ac:dyDescent="0.3">
      <c r="A2" s="1"/>
      <c r="B2" s="11" t="s">
        <v>15</v>
      </c>
      <c r="C2" s="1"/>
      <c r="D2" s="263" t="str">
        <f>PROPER(INICIO!D110)</f>
        <v>Metegolazo Lirio/Colo</v>
      </c>
      <c r="E2" s="264"/>
      <c r="F2" s="264"/>
      <c r="G2" s="265"/>
      <c r="H2" s="1"/>
      <c r="I2" s="1"/>
      <c r="J2" s="1"/>
      <c r="K2" s="1"/>
    </row>
    <row r="3" spans="1:11" ht="15.7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s="1" customFormat="1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1:11" ht="15.75" x14ac:dyDescent="0.25">
      <c r="A5" s="1"/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</row>
    <row r="6" spans="1:11" ht="15.75" x14ac:dyDescent="0.25">
      <c r="A6" s="1"/>
      <c r="B6" s="17">
        <v>16</v>
      </c>
      <c r="C6" s="40">
        <f>SUM(C16*0.07)+C16</f>
        <v>2328.3785504000002</v>
      </c>
      <c r="D6" s="40">
        <f>SUM(C16*0.04)+C16</f>
        <v>2263.0969088000002</v>
      </c>
      <c r="E6" s="40">
        <f>SUM(C16*0.04)+C16</f>
        <v>2263.0969088000002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</row>
    <row r="7" spans="1:11" ht="15.75" x14ac:dyDescent="0.25">
      <c r="A7" s="1"/>
      <c r="B7" s="17">
        <v>18</v>
      </c>
      <c r="C7" s="40">
        <f>SUM(C16*0.07)+C16</f>
        <v>2328.3785504000002</v>
      </c>
      <c r="D7" s="40">
        <f>SUM(C16*0.04)+C16</f>
        <v>2263.0969088000002</v>
      </c>
      <c r="E7" s="40">
        <f>SUM(C16*0.04)+C16</f>
        <v>2263.0969088000002</v>
      </c>
      <c r="F7" s="16"/>
      <c r="G7" s="18">
        <v>2</v>
      </c>
      <c r="H7" s="40">
        <f>SUM(H16*0.14)+H16</f>
        <v>2122.0128719999998</v>
      </c>
      <c r="I7" s="40">
        <f>SUM(H16*0.11)+H16</f>
        <v>2066.1704279999999</v>
      </c>
      <c r="J7" s="40" t="s">
        <v>2</v>
      </c>
      <c r="K7" s="9"/>
    </row>
    <row r="8" spans="1:11" ht="15.75" x14ac:dyDescent="0.25">
      <c r="A8" s="1"/>
      <c r="B8" s="17" t="s">
        <v>3</v>
      </c>
      <c r="C8" s="40">
        <f>SUM(C16*0.08)+C16</f>
        <v>2350.1390976000002</v>
      </c>
      <c r="D8" s="40">
        <f>SUM(C16*0.05)+C16</f>
        <v>2284.8574560000002</v>
      </c>
      <c r="E8" s="40">
        <f>SUM(C16*0.05)+C16</f>
        <v>2284.8574560000002</v>
      </c>
      <c r="F8" s="16"/>
      <c r="G8" s="18">
        <v>2.5</v>
      </c>
      <c r="H8" s="40">
        <f>SUM(H16*0.12)+H16</f>
        <v>2084.7845759999996</v>
      </c>
      <c r="I8" s="40">
        <f>SUM(H16*0.09)+H16</f>
        <v>2028.9421319999997</v>
      </c>
      <c r="J8" s="40" t="s">
        <v>2</v>
      </c>
      <c r="K8" s="9"/>
    </row>
    <row r="9" spans="1:11" ht="15.75" x14ac:dyDescent="0.25">
      <c r="A9" s="1"/>
      <c r="B9" s="17">
        <v>22</v>
      </c>
      <c r="C9" s="40">
        <f>SUM(C16*0.1)+C16</f>
        <v>2393.6601920000003</v>
      </c>
      <c r="D9" s="40">
        <f>SUM(C16*0.07)+C16</f>
        <v>2328.3785504000002</v>
      </c>
      <c r="E9" s="40">
        <f>SUM(C16*0.07)+C16</f>
        <v>2328.3785504000002</v>
      </c>
      <c r="F9" s="16"/>
      <c r="G9" s="18">
        <v>3.17</v>
      </c>
      <c r="H9" s="40">
        <f>SUM(H16*0.11)+H16</f>
        <v>2066.1704279999999</v>
      </c>
      <c r="I9" s="40">
        <f>SUM(H16*0.08)+H16</f>
        <v>2010.3279839999998</v>
      </c>
      <c r="J9" s="40">
        <f>SUM(H16*0.08)+H16</f>
        <v>2010.3279839999998</v>
      </c>
      <c r="K9" s="9"/>
    </row>
    <row r="10" spans="1:11" ht="15.75" x14ac:dyDescent="0.25">
      <c r="A10" s="1"/>
      <c r="B10" s="17">
        <v>0.65</v>
      </c>
      <c r="C10" s="40">
        <f>SUM(C16*0.12)+C16</f>
        <v>2437.1812864000003</v>
      </c>
      <c r="D10" s="40">
        <f>SUM(C16*0.09)+C16</f>
        <v>2371.8996448000003</v>
      </c>
      <c r="E10" s="40" t="s">
        <v>2</v>
      </c>
      <c r="F10" s="16"/>
      <c r="G10" s="18" t="s">
        <v>4</v>
      </c>
      <c r="H10" s="40">
        <f>SUM(H16*0.1)+H16</f>
        <v>2047.5562799999998</v>
      </c>
      <c r="I10" s="40">
        <f>SUM(H16*0.07+H16)</f>
        <v>1991.7138359999999</v>
      </c>
      <c r="J10" s="40">
        <f>SUM(H16*0.07)+H16</f>
        <v>1991.7138359999999</v>
      </c>
      <c r="K10" s="9"/>
    </row>
    <row r="11" spans="1:11" ht="15.75" x14ac:dyDescent="0.25">
      <c r="A11" s="1"/>
      <c r="B11" s="17">
        <v>24</v>
      </c>
      <c r="C11" s="40">
        <f>SUM(C16*0.16)+C16</f>
        <v>2524.2234751999999</v>
      </c>
      <c r="D11" s="40">
        <f>SUM(C16*0.13)+C16</f>
        <v>2458.9418335999999</v>
      </c>
      <c r="E11" s="40" t="s">
        <v>2</v>
      </c>
      <c r="F11" s="16"/>
      <c r="G11" s="18">
        <v>6.35</v>
      </c>
      <c r="H11" s="40">
        <f>SUM(H16*0.11)+H16</f>
        <v>2066.1704279999999</v>
      </c>
      <c r="I11" s="40">
        <f>SUM(H16*0.08)+H16</f>
        <v>2010.3279839999998</v>
      </c>
      <c r="J11" s="40">
        <f>SUM(H16*0.08)+H16</f>
        <v>2010.3279839999998</v>
      </c>
      <c r="K11" s="9"/>
    </row>
    <row r="12" spans="1:11" ht="15.75" x14ac:dyDescent="0.25">
      <c r="A12" s="1"/>
      <c r="B12" s="17">
        <v>26</v>
      </c>
      <c r="C12" s="40">
        <f>SUM(C16*0.2)+C16</f>
        <v>2611.265664</v>
      </c>
      <c r="D12" s="40">
        <f>SUM(C16*0.15)+C16</f>
        <v>2502.4629279999999</v>
      </c>
      <c r="E12" s="40" t="s">
        <v>2</v>
      </c>
      <c r="F12" s="16"/>
      <c r="G12" s="18">
        <v>8</v>
      </c>
      <c r="H12" s="40">
        <f>SUM(H16*0.11)+H16</f>
        <v>2066.1704279999999</v>
      </c>
      <c r="I12" s="40">
        <f>SUM(H16*0.08)+H16</f>
        <v>2010.3279839999998</v>
      </c>
      <c r="J12" s="40">
        <f>SUM(H16*0.08)+H16</f>
        <v>2010.3279839999998</v>
      </c>
      <c r="K12" s="9"/>
    </row>
    <row r="13" spans="1:11" ht="15.75" x14ac:dyDescent="0.25">
      <c r="A13" s="1"/>
      <c r="B13" s="17">
        <v>27</v>
      </c>
      <c r="C13" s="40">
        <f>SUM(C16*0.26)+C16</f>
        <v>2741.8289472000001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2084.7845759999996</v>
      </c>
      <c r="I13" s="40">
        <f>SUM(H16*0.09)+H16</f>
        <v>2028.9421319999997</v>
      </c>
      <c r="J13" s="40">
        <f>SUM(H16*0.1)+H16</f>
        <v>2047.5562799999998</v>
      </c>
      <c r="K13" s="9"/>
    </row>
    <row r="14" spans="1:11" ht="15.75" x14ac:dyDescent="0.25">
      <c r="A14" s="1"/>
      <c r="B14" s="17">
        <v>30</v>
      </c>
      <c r="C14" s="40">
        <f>SUM(C16*0.32)+C16</f>
        <v>2872.3922304000002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2084.7845759999996</v>
      </c>
      <c r="I14" s="40">
        <f>SUM(H16*0.09)+H16</f>
        <v>2028.9421319999997</v>
      </c>
      <c r="J14" s="40">
        <f>SUM(H16*0.1)+H16</f>
        <v>2047.5562799999998</v>
      </c>
      <c r="K14" s="9"/>
    </row>
    <row r="15" spans="1:11" ht="16.5" thickBot="1" x14ac:dyDescent="0.3">
      <c r="A15" s="1"/>
      <c r="B15" s="10"/>
      <c r="C15" s="43"/>
      <c r="D15" s="43"/>
      <c r="E15" s="43"/>
      <c r="F15" s="10"/>
      <c r="G15" s="10"/>
      <c r="H15" s="43"/>
      <c r="I15" s="43"/>
      <c r="J15" s="43"/>
      <c r="K15" s="9"/>
    </row>
    <row r="16" spans="1:11" ht="16.5" thickBot="1" x14ac:dyDescent="0.3">
      <c r="A16" s="1"/>
      <c r="B16" s="14" t="s">
        <v>5</v>
      </c>
      <c r="C16" s="41">
        <f>SUM(INICIO!K110)</f>
        <v>2176.0547200000001</v>
      </c>
      <c r="D16" s="43"/>
      <c r="E16" s="43"/>
      <c r="F16" s="10"/>
      <c r="G16" s="26" t="s">
        <v>5</v>
      </c>
      <c r="H16" s="42">
        <f>SUM(INICIO!Q110)</f>
        <v>1861.4147999999998</v>
      </c>
      <c r="I16" s="43"/>
      <c r="J16" s="43" t="s">
        <v>224</v>
      </c>
      <c r="K16" s="9"/>
    </row>
    <row r="17" spans="1:11" ht="15.75" x14ac:dyDescent="0.25">
      <c r="A17" s="1"/>
      <c r="B17" s="10"/>
      <c r="C17" s="10"/>
      <c r="D17" s="10"/>
      <c r="E17" s="10"/>
      <c r="F17" s="10"/>
      <c r="G17" s="10"/>
      <c r="H17" s="43"/>
      <c r="I17" s="43"/>
      <c r="J17" s="43"/>
      <c r="K17" s="9"/>
    </row>
    <row r="18" spans="1:11" ht="15.75" x14ac:dyDescent="0.25">
      <c r="A18" s="1"/>
      <c r="B18" s="17">
        <v>3.17</v>
      </c>
      <c r="C18" s="8">
        <v>1245</v>
      </c>
      <c r="D18" s="23" t="s">
        <v>6</v>
      </c>
      <c r="E18" s="40">
        <f>SUM(I9*0.1)+I9</f>
        <v>2211.3607823999996</v>
      </c>
      <c r="F18" s="10"/>
      <c r="G18" s="10"/>
      <c r="H18" s="19"/>
      <c r="I18" s="10" t="s">
        <v>7</v>
      </c>
      <c r="J18" s="10"/>
      <c r="K18" s="9"/>
    </row>
    <row r="19" spans="1:11" ht="15.75" x14ac:dyDescent="0.25">
      <c r="A19" s="1"/>
      <c r="B19" s="17">
        <v>4.75</v>
      </c>
      <c r="C19" s="8">
        <v>1500</v>
      </c>
      <c r="D19" s="23" t="s">
        <v>6</v>
      </c>
      <c r="E19" s="40">
        <f>SUM(J10*0.1)+J10</f>
        <v>2190.8852195999998</v>
      </c>
      <c r="F19" s="10"/>
      <c r="G19" s="10"/>
      <c r="H19" s="20"/>
      <c r="I19" s="10" t="s">
        <v>8</v>
      </c>
      <c r="J19" s="10"/>
      <c r="K19" s="9"/>
    </row>
    <row r="20" spans="1:11" ht="15.75" x14ac:dyDescent="0.25">
      <c r="A20" s="1"/>
      <c r="B20" s="17">
        <v>6.35</v>
      </c>
      <c r="C20" s="8">
        <v>1500</v>
      </c>
      <c r="D20" s="23" t="s">
        <v>6</v>
      </c>
      <c r="E20" s="40">
        <f>SUM(J11*0.1)+J11</f>
        <v>2211.3607823999996</v>
      </c>
      <c r="F20" s="10"/>
      <c r="G20" s="10"/>
      <c r="H20" s="21"/>
      <c r="I20" s="10" t="s">
        <v>9</v>
      </c>
      <c r="J20" s="10"/>
      <c r="K20" s="9"/>
    </row>
    <row r="21" spans="1:11" ht="16.5" thickBot="1" x14ac:dyDescent="0.3">
      <c r="A21" s="1"/>
      <c r="B21" s="10"/>
      <c r="C21" s="10"/>
      <c r="D21" s="10"/>
      <c r="E21" s="10"/>
      <c r="F21" s="10"/>
      <c r="G21" s="10"/>
      <c r="H21" s="10"/>
      <c r="I21" s="10"/>
      <c r="J21" s="10"/>
      <c r="K21" s="9"/>
    </row>
    <row r="22" spans="1:11" s="1" customFormat="1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1:11" s="1" customFormat="1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1:11" s="1" customFormat="1" ht="15.75" x14ac:dyDescent="0.25">
      <c r="B24" s="17">
        <v>16</v>
      </c>
      <c r="C24" s="22">
        <f>SUM(C34*0.07)+C34</f>
        <v>1.5543247999999998</v>
      </c>
      <c r="D24" s="22">
        <f>SUM(C34*0.04)+C34</f>
        <v>1.5107455999999999</v>
      </c>
      <c r="E24" s="22">
        <f>SUM(C34*0.04)+C34</f>
        <v>1.5107455999999999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1:11" s="1" customFormat="1" ht="15.75" x14ac:dyDescent="0.25">
      <c r="B25" s="17">
        <v>18</v>
      </c>
      <c r="C25" s="22">
        <f>SUM(C34*0.07)+C34</f>
        <v>1.5543247999999998</v>
      </c>
      <c r="D25" s="22">
        <f>SUM(C34*0.04)+C34</f>
        <v>1.5107455999999999</v>
      </c>
      <c r="E25" s="22">
        <f>SUM(C34*0.04)+C34</f>
        <v>1.5107455999999999</v>
      </c>
      <c r="F25" s="16"/>
      <c r="G25" s="18">
        <v>2</v>
      </c>
      <c r="H25" s="22">
        <f>SUM(H34*0.14)+H34</f>
        <v>1.4165639999999999</v>
      </c>
      <c r="I25" s="22">
        <f>SUM(H34*0.11)+H34</f>
        <v>1.379286</v>
      </c>
      <c r="J25" s="23" t="s">
        <v>2</v>
      </c>
      <c r="K25" s="9"/>
    </row>
    <row r="26" spans="1:11" s="1" customFormat="1" ht="15.75" x14ac:dyDescent="0.25">
      <c r="B26" s="17" t="s">
        <v>3</v>
      </c>
      <c r="C26" s="22">
        <f>SUM(C34*0.08)+C34</f>
        <v>1.5688511999999999</v>
      </c>
      <c r="D26" s="22">
        <f>SUM(C34*0.05)+C34</f>
        <v>1.525272</v>
      </c>
      <c r="E26" s="22">
        <f>SUM(C34*0.05)+C34</f>
        <v>1.525272</v>
      </c>
      <c r="F26" s="16"/>
      <c r="G26" s="18">
        <v>2.5</v>
      </c>
      <c r="H26" s="22">
        <f>SUM(H34*0.12)+H34</f>
        <v>1.3917119999999998</v>
      </c>
      <c r="I26" s="22">
        <f>SUM(H34*0.09)+H34</f>
        <v>1.3544339999999999</v>
      </c>
      <c r="J26" s="23" t="s">
        <v>2</v>
      </c>
      <c r="K26" s="9"/>
    </row>
    <row r="27" spans="1:11" s="1" customFormat="1" ht="15.75" x14ac:dyDescent="0.25">
      <c r="B27" s="17">
        <v>22</v>
      </c>
      <c r="C27" s="22">
        <f>SUM(C34*0.1)+C34</f>
        <v>1.597904</v>
      </c>
      <c r="D27" s="22">
        <f>SUM(C34*0.07)+C34</f>
        <v>1.5543247999999998</v>
      </c>
      <c r="E27" s="22">
        <f>SUM(C34*0.07)+C34</f>
        <v>1.5543247999999998</v>
      </c>
      <c r="F27" s="16"/>
      <c r="G27" s="18">
        <v>3.17</v>
      </c>
      <c r="H27" s="22">
        <f>SUM(H34*0.11)+H34</f>
        <v>1.379286</v>
      </c>
      <c r="I27" s="22">
        <f>SUM(H34*0.08)+H34</f>
        <v>1.3420079999999999</v>
      </c>
      <c r="J27" s="22">
        <f>SUM(H34*0.08)+H34</f>
        <v>1.3420079999999999</v>
      </c>
      <c r="K27" s="9"/>
    </row>
    <row r="28" spans="1:11" s="1" customFormat="1" ht="15.75" x14ac:dyDescent="0.25">
      <c r="B28" s="17">
        <v>0.65</v>
      </c>
      <c r="C28" s="22">
        <f>SUM(C34*0.12)+C34</f>
        <v>1.6269567999999999</v>
      </c>
      <c r="D28" s="22">
        <f>SUM(C34*0.09)+C34</f>
        <v>1.5833775999999999</v>
      </c>
      <c r="E28" s="23" t="s">
        <v>2</v>
      </c>
      <c r="F28" s="16"/>
      <c r="G28" s="18" t="s">
        <v>4</v>
      </c>
      <c r="H28" s="22">
        <f>SUM(H34*0.1)+H34</f>
        <v>1.36686</v>
      </c>
      <c r="I28" s="22">
        <f>SUM(H34*0.07+H34)</f>
        <v>1.3295819999999998</v>
      </c>
      <c r="J28" s="22">
        <f>SUM(H34*0.07)+H34</f>
        <v>1.3295819999999998</v>
      </c>
      <c r="K28" s="9"/>
    </row>
    <row r="29" spans="1:11" s="1" customFormat="1" ht="15.75" x14ac:dyDescent="0.25">
      <c r="B29" s="17">
        <v>24</v>
      </c>
      <c r="C29" s="22">
        <f>SUM(C34*0.16)+C34</f>
        <v>1.6850623999999998</v>
      </c>
      <c r="D29" s="22">
        <f>SUM(C34*0.13)+C34</f>
        <v>1.6414831999999999</v>
      </c>
      <c r="E29" s="23" t="s">
        <v>2</v>
      </c>
      <c r="F29" s="16"/>
      <c r="G29" s="18">
        <v>6.35</v>
      </c>
      <c r="H29" s="22">
        <f>SUM(H34*0.11)+H34</f>
        <v>1.379286</v>
      </c>
      <c r="I29" s="22">
        <f>SUM(H34*0.08)+H34</f>
        <v>1.3420079999999999</v>
      </c>
      <c r="J29" s="22">
        <f>SUM(H34*0.08)+H34</f>
        <v>1.3420079999999999</v>
      </c>
      <c r="K29" s="9"/>
    </row>
    <row r="30" spans="1:11" s="1" customFormat="1" ht="15.75" x14ac:dyDescent="0.25">
      <c r="B30" s="17">
        <v>26</v>
      </c>
      <c r="C30" s="22">
        <f>SUM(C34*0.2)+C34</f>
        <v>1.7431679999999998</v>
      </c>
      <c r="D30" s="22">
        <f>SUM(C34*0.15)+C34</f>
        <v>1.6705359999999998</v>
      </c>
      <c r="E30" s="23" t="s">
        <v>2</v>
      </c>
      <c r="F30" s="16"/>
      <c r="G30" s="18">
        <v>8</v>
      </c>
      <c r="H30" s="22">
        <f>SUM(H34*0.11)+H34</f>
        <v>1.379286</v>
      </c>
      <c r="I30" s="22">
        <f>SUM(H34*0.08)+H34</f>
        <v>1.3420079999999999</v>
      </c>
      <c r="J30" s="22">
        <f>SUM(H34*0.08)+H34</f>
        <v>1.3420079999999999</v>
      </c>
      <c r="K30" s="9"/>
    </row>
    <row r="31" spans="1:11" s="1" customFormat="1" ht="15.75" x14ac:dyDescent="0.25">
      <c r="B31" s="17">
        <v>27</v>
      </c>
      <c r="C31" s="22">
        <f>SUM(C34*0.26)+C34</f>
        <v>1.8303263999999999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1.3917119999999998</v>
      </c>
      <c r="I31" s="22">
        <f>SUM(H34*0.09)+H34</f>
        <v>1.3544339999999999</v>
      </c>
      <c r="J31" s="22">
        <f>SUM(H34*0.1)+H34</f>
        <v>1.36686</v>
      </c>
      <c r="K31" s="9"/>
    </row>
    <row r="32" spans="1:11" s="1" customFormat="1" ht="15.75" x14ac:dyDescent="0.25">
      <c r="B32" s="17">
        <v>30</v>
      </c>
      <c r="C32" s="22">
        <f>SUM(C34*0.32)+C34</f>
        <v>1.9174848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1.3917119999999998</v>
      </c>
      <c r="I32" s="22">
        <f>SUM(H34*0.09)+H34</f>
        <v>1.3544339999999999</v>
      </c>
      <c r="J32" s="22">
        <f>SUM(H34*0.1)+H34</f>
        <v>1.36686</v>
      </c>
      <c r="K32" s="9"/>
    </row>
    <row r="33" spans="2:11" s="1" customFormat="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s="1" customFormat="1" ht="16.5" thickBot="1" x14ac:dyDescent="0.3">
      <c r="B34" s="14" t="s">
        <v>5</v>
      </c>
      <c r="C34" s="24">
        <f>SUM(INICIO!J110)</f>
        <v>1.4526399999999999</v>
      </c>
      <c r="D34" s="10"/>
      <c r="E34" s="10"/>
      <c r="F34" s="10"/>
      <c r="G34" s="26" t="s">
        <v>5</v>
      </c>
      <c r="H34" s="27">
        <f>SUM(INICIO!P110)</f>
        <v>1.2425999999999999</v>
      </c>
      <c r="I34" s="10"/>
      <c r="J34" s="10"/>
      <c r="K34" s="9"/>
    </row>
    <row r="35" spans="2:11" s="1" customFormat="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s="1" customFormat="1" ht="15.75" x14ac:dyDescent="0.25">
      <c r="B36" s="17">
        <v>3.17</v>
      </c>
      <c r="C36" s="8">
        <v>1245</v>
      </c>
      <c r="D36" s="23" t="s">
        <v>6</v>
      </c>
      <c r="E36" s="22">
        <f>SUM(I27*0.1)+I27</f>
        <v>1.4762087999999998</v>
      </c>
      <c r="F36" s="10"/>
      <c r="G36" s="10"/>
      <c r="H36" s="19"/>
      <c r="I36" s="10" t="s">
        <v>7</v>
      </c>
      <c r="J36" s="10"/>
      <c r="K36" s="9"/>
    </row>
    <row r="37" spans="2:11" s="1" customFormat="1" ht="15.75" x14ac:dyDescent="0.25">
      <c r="B37" s="17">
        <v>4.75</v>
      </c>
      <c r="C37" s="8">
        <v>1500</v>
      </c>
      <c r="D37" s="23" t="s">
        <v>6</v>
      </c>
      <c r="E37" s="22">
        <f>SUM(J28*0.1)+J28</f>
        <v>1.4625401999999998</v>
      </c>
      <c r="F37" s="10"/>
      <c r="G37" s="10"/>
      <c r="H37" s="20"/>
      <c r="I37" s="10" t="s">
        <v>8</v>
      </c>
      <c r="J37" s="10"/>
      <c r="K37" s="9"/>
    </row>
    <row r="38" spans="2:11" s="1" customFormat="1" ht="15.75" x14ac:dyDescent="0.25">
      <c r="B38" s="17">
        <v>6.35</v>
      </c>
      <c r="C38" s="8">
        <v>1500</v>
      </c>
      <c r="D38" s="23" t="s">
        <v>6</v>
      </c>
      <c r="E38" s="22">
        <f>SUM(J29*0.1)+J29</f>
        <v>1.4762087999999998</v>
      </c>
      <c r="F38" s="10"/>
      <c r="G38" s="10"/>
      <c r="H38" s="21"/>
      <c r="I38" s="10" t="s">
        <v>9</v>
      </c>
      <c r="J38" s="10"/>
      <c r="K38" s="9"/>
    </row>
    <row r="39" spans="2:11" s="1" customFormat="1" x14ac:dyDescent="0.25"/>
    <row r="40" spans="2:11" s="1" customFormat="1" ht="15.75" thickBot="1" x14ac:dyDescent="0.3"/>
    <row r="41" spans="2:11" ht="16.5" thickBot="1" x14ac:dyDescent="0.3">
      <c r="B41" s="14" t="s">
        <v>109</v>
      </c>
      <c r="C41" s="78">
        <v>11.5</v>
      </c>
      <c r="D41" s="79">
        <v>44216</v>
      </c>
    </row>
  </sheetData>
  <mergeCells count="3">
    <mergeCell ref="D2:G2"/>
    <mergeCell ref="B4:J4"/>
    <mergeCell ref="B22:J22"/>
  </mergeCells>
  <pageMargins left="0.7" right="0.7" top="0.75" bottom="0.75" header="0.3" footer="0.3"/>
  <pageSetup orientation="portrait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B1:M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3" ht="15.75" thickBot="1" x14ac:dyDescent="0.3">
      <c r="L1"/>
      <c r="M1"/>
    </row>
    <row r="2" spans="2:13" ht="19.5" thickBot="1" x14ac:dyDescent="0.3">
      <c r="B2" s="11" t="s">
        <v>15</v>
      </c>
      <c r="D2" s="263" t="str">
        <f>PROPER(INICIO!D111)</f>
        <v xml:space="preserve"> </v>
      </c>
      <c r="E2" s="264"/>
      <c r="F2" s="264"/>
      <c r="G2" s="265"/>
      <c r="L2"/>
      <c r="M2"/>
    </row>
    <row r="3" spans="2:13" ht="15.75" thickBot="1" x14ac:dyDescent="0.3">
      <c r="L3"/>
      <c r="M3"/>
    </row>
    <row r="4" spans="2:13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3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  <c r="L5"/>
      <c r="M5"/>
    </row>
    <row r="6" spans="2:13" ht="15.75" x14ac:dyDescent="0.25">
      <c r="B6" s="17">
        <v>16</v>
      </c>
      <c r="C6" s="40">
        <f>SUM(C16*0.07)+C16</f>
        <v>2494.6913039999999</v>
      </c>
      <c r="D6" s="40">
        <f>SUM(C16*0.04)+C16</f>
        <v>2424.7466880000002</v>
      </c>
      <c r="E6" s="40">
        <f>SUM(C16*0.04)+C16</f>
        <v>2424.7466880000002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  <c r="L6"/>
      <c r="M6"/>
    </row>
    <row r="7" spans="2:13" ht="15.75" x14ac:dyDescent="0.25">
      <c r="B7" s="17">
        <v>18</v>
      </c>
      <c r="C7" s="40">
        <f>SUM(C16*0.07)+C16</f>
        <v>2494.6913039999999</v>
      </c>
      <c r="D7" s="40">
        <f>SUM(C16*0.04)+C16</f>
        <v>2424.7466880000002</v>
      </c>
      <c r="E7" s="40">
        <f>SUM(C16*0.04)+C16</f>
        <v>2424.7466880000002</v>
      </c>
      <c r="F7" s="16"/>
      <c r="G7" s="18">
        <v>2</v>
      </c>
      <c r="H7" s="40">
        <f>SUM(H16*0.14)+H16</f>
        <v>2180.4168959999997</v>
      </c>
      <c r="I7" s="40">
        <f>SUM(H16*0.11)+H16</f>
        <v>2123.0375039999999</v>
      </c>
      <c r="J7" s="40" t="s">
        <v>2</v>
      </c>
      <c r="K7" s="9"/>
      <c r="L7"/>
      <c r="M7"/>
    </row>
    <row r="8" spans="2:13" ht="15.75" x14ac:dyDescent="0.25">
      <c r="B8" s="17" t="s">
        <v>3</v>
      </c>
      <c r="C8" s="40">
        <f>SUM(C16*0.08)+C16</f>
        <v>2518.0061759999999</v>
      </c>
      <c r="D8" s="40">
        <f>SUM(C16*0.05)+C16</f>
        <v>2448.0615600000001</v>
      </c>
      <c r="E8" s="40">
        <f>SUM(C16*0.05)+C16</f>
        <v>2448.0615600000001</v>
      </c>
      <c r="F8" s="16"/>
      <c r="G8" s="18">
        <v>2.5</v>
      </c>
      <c r="H8" s="40">
        <f>SUM(H16*0.12)+H16</f>
        <v>2142.1639679999998</v>
      </c>
      <c r="I8" s="40">
        <f>SUM(H16*0.09)+H16</f>
        <v>2084.784576</v>
      </c>
      <c r="J8" s="40" t="s">
        <v>2</v>
      </c>
      <c r="K8" s="9"/>
      <c r="L8"/>
      <c r="M8"/>
    </row>
    <row r="9" spans="2:13" ht="15.75" x14ac:dyDescent="0.25">
      <c r="B9" s="17">
        <v>22</v>
      </c>
      <c r="C9" s="40">
        <f>SUM(C16*0.1)+C16</f>
        <v>2564.6359200000002</v>
      </c>
      <c r="D9" s="40">
        <f>SUM(C16*0.07)+C16</f>
        <v>2494.6913039999999</v>
      </c>
      <c r="E9" s="40">
        <f>SUM(C16*0.07)+C16</f>
        <v>2494.6913039999999</v>
      </c>
      <c r="F9" s="16"/>
      <c r="G9" s="18">
        <v>3.17</v>
      </c>
      <c r="H9" s="40">
        <f>SUM(H16*0.11)+H16</f>
        <v>2123.0375039999999</v>
      </c>
      <c r="I9" s="40">
        <f>SUM(H16*0.08)+H16</f>
        <v>2065.6581120000001</v>
      </c>
      <c r="J9" s="40">
        <f>SUM(H16*0.08)+H16</f>
        <v>2065.6581120000001</v>
      </c>
      <c r="K9" s="9"/>
      <c r="L9"/>
      <c r="M9"/>
    </row>
    <row r="10" spans="2:13" ht="15.75" x14ac:dyDescent="0.25">
      <c r="B10" s="17">
        <v>0.65</v>
      </c>
      <c r="C10" s="40">
        <f>SUM(C16*0.12)+C16</f>
        <v>2611.265664</v>
      </c>
      <c r="D10" s="40">
        <f>SUM(C16*0.09)+C16</f>
        <v>2541.3210479999998</v>
      </c>
      <c r="E10" s="40" t="s">
        <v>2</v>
      </c>
      <c r="F10" s="16"/>
      <c r="G10" s="18" t="s">
        <v>4</v>
      </c>
      <c r="H10" s="40">
        <f>SUM(H16*0.1)+H16</f>
        <v>2103.91104</v>
      </c>
      <c r="I10" s="40">
        <f>SUM(H16*0.07+H16)</f>
        <v>2046.5316479999999</v>
      </c>
      <c r="J10" s="40">
        <f>SUM(H16*0.07)+H16</f>
        <v>2046.5316479999999</v>
      </c>
      <c r="K10" s="9"/>
      <c r="L10"/>
      <c r="M10"/>
    </row>
    <row r="11" spans="2:13" ht="15.75" x14ac:dyDescent="0.25">
      <c r="B11" s="17">
        <v>24</v>
      </c>
      <c r="C11" s="40">
        <f>SUM(C16*0.16)+C16</f>
        <v>2704.5251520000002</v>
      </c>
      <c r="D11" s="40">
        <f>SUM(C16*0.13)+C16</f>
        <v>2634.5805359999999</v>
      </c>
      <c r="E11" s="40" t="s">
        <v>2</v>
      </c>
      <c r="F11" s="16"/>
      <c r="G11" s="18">
        <v>6.35</v>
      </c>
      <c r="H11" s="40">
        <f>SUM(H16*0.11)+H16</f>
        <v>2123.0375039999999</v>
      </c>
      <c r="I11" s="40">
        <f>SUM(H16*0.08)+H16</f>
        <v>2065.6581120000001</v>
      </c>
      <c r="J11" s="40">
        <f>SUM(H16*0.08)+H16</f>
        <v>2065.6581120000001</v>
      </c>
      <c r="K11" s="9"/>
      <c r="L11"/>
      <c r="M11"/>
    </row>
    <row r="12" spans="2:13" ht="15.75" x14ac:dyDescent="0.25">
      <c r="B12" s="17">
        <v>26</v>
      </c>
      <c r="C12" s="40">
        <f>SUM(C16*0.2)+C16</f>
        <v>2797.7846399999999</v>
      </c>
      <c r="D12" s="40">
        <f>SUM(C16*0.15)+C16</f>
        <v>2681.2102800000002</v>
      </c>
      <c r="E12" s="40" t="s">
        <v>2</v>
      </c>
      <c r="F12" s="16"/>
      <c r="G12" s="18">
        <v>8</v>
      </c>
      <c r="H12" s="40">
        <f>SUM(H16*0.11)+H16</f>
        <v>2123.0375039999999</v>
      </c>
      <c r="I12" s="40">
        <f>SUM(H16*0.08)+H16</f>
        <v>2065.6581120000001</v>
      </c>
      <c r="J12" s="40">
        <f>SUM(H16*0.08)+H16</f>
        <v>2065.6581120000001</v>
      </c>
      <c r="K12" s="9"/>
      <c r="L12"/>
      <c r="M12"/>
    </row>
    <row r="13" spans="2:13" ht="15.75" x14ac:dyDescent="0.25">
      <c r="B13" s="17">
        <v>27</v>
      </c>
      <c r="C13" s="40">
        <f>SUM(C16*0.26)+C16</f>
        <v>2937.6738720000003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2142.1639679999998</v>
      </c>
      <c r="I13" s="40">
        <f>SUM(H16*0.09)+H16</f>
        <v>2084.784576</v>
      </c>
      <c r="J13" s="40">
        <f>SUM(H16*0.09)+H16</f>
        <v>2084.784576</v>
      </c>
      <c r="K13" s="9"/>
      <c r="L13"/>
      <c r="M13"/>
    </row>
    <row r="14" spans="2:13" ht="15.75" x14ac:dyDescent="0.25">
      <c r="B14" s="17">
        <v>30</v>
      </c>
      <c r="C14" s="40">
        <f>SUM(C16*0.32)+C16</f>
        <v>3077.5631039999998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2142.1639679999998</v>
      </c>
      <c r="I14" s="40">
        <f>SUM(H16*0.09)+H16</f>
        <v>2084.784576</v>
      </c>
      <c r="J14" s="40">
        <f>SUM(H16*0.09)+H16</f>
        <v>2084.784576</v>
      </c>
      <c r="K14" s="9"/>
      <c r="L14"/>
      <c r="M14"/>
    </row>
    <row r="15" spans="2:13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9"/>
      <c r="L15"/>
      <c r="M15"/>
    </row>
    <row r="16" spans="2:13" ht="16.5" thickBot="1" x14ac:dyDescent="0.3">
      <c r="B16" s="14" t="s">
        <v>5</v>
      </c>
      <c r="C16" s="41">
        <f>SUM(INICIO!K111)</f>
        <v>2331.4872</v>
      </c>
      <c r="D16" s="43"/>
      <c r="E16" s="43"/>
      <c r="F16" s="10"/>
      <c r="G16" s="26" t="s">
        <v>5</v>
      </c>
      <c r="H16" s="42">
        <f>SUM(INICIO!Q111)</f>
        <v>1912.6463999999999</v>
      </c>
      <c r="I16" s="43"/>
      <c r="J16" s="43"/>
      <c r="K16" s="9"/>
      <c r="L16"/>
      <c r="M16"/>
    </row>
    <row r="17" spans="2:13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  <c r="L17"/>
      <c r="M17"/>
    </row>
    <row r="18" spans="2:13" ht="15.75" x14ac:dyDescent="0.25">
      <c r="B18" s="17">
        <v>3.17</v>
      </c>
      <c r="C18" s="8">
        <v>1245</v>
      </c>
      <c r="D18" s="23" t="s">
        <v>6</v>
      </c>
      <c r="E18" s="40">
        <f>SUM(I9*0.1)+I9</f>
        <v>2272.2239232000002</v>
      </c>
      <c r="F18" s="10"/>
      <c r="G18" s="10"/>
      <c r="H18" s="19"/>
      <c r="I18" s="10" t="s">
        <v>7</v>
      </c>
      <c r="J18" s="10"/>
      <c r="K18" s="9"/>
      <c r="L18"/>
      <c r="M18"/>
    </row>
    <row r="19" spans="2:13" ht="15.75" x14ac:dyDescent="0.25">
      <c r="B19" s="17">
        <v>4.75</v>
      </c>
      <c r="C19" s="8">
        <v>1500</v>
      </c>
      <c r="D19" s="23" t="s">
        <v>6</v>
      </c>
      <c r="E19" s="40">
        <f>SUM(J10*0.1)+J10</f>
        <v>2251.1848128000001</v>
      </c>
      <c r="F19" s="10"/>
      <c r="G19" s="10"/>
      <c r="H19" s="20"/>
      <c r="I19" s="10" t="s">
        <v>8</v>
      </c>
      <c r="J19" s="10"/>
      <c r="K19" s="9"/>
      <c r="L19"/>
      <c r="M19"/>
    </row>
    <row r="20" spans="2:13" ht="15.75" x14ac:dyDescent="0.25">
      <c r="B20" s="17">
        <v>6.35</v>
      </c>
      <c r="C20" s="8">
        <v>1500</v>
      </c>
      <c r="D20" s="23" t="s">
        <v>6</v>
      </c>
      <c r="E20" s="40">
        <f>SUM(J11*0.1)+J11</f>
        <v>2272.2239232000002</v>
      </c>
      <c r="F20" s="10"/>
      <c r="G20" s="10"/>
      <c r="H20" s="21"/>
      <c r="I20" s="10" t="s">
        <v>9</v>
      </c>
      <c r="J20" s="10"/>
      <c r="K20" s="9"/>
      <c r="L20"/>
      <c r="M20"/>
    </row>
    <row r="21" spans="2:13" ht="16.5" thickBot="1" x14ac:dyDescent="0.3">
      <c r="B21" s="10"/>
      <c r="C21" s="10"/>
      <c r="D21" s="10"/>
      <c r="E21" s="43"/>
      <c r="F21" s="10"/>
      <c r="G21" s="10"/>
      <c r="H21" s="10"/>
      <c r="I21" s="10"/>
      <c r="J21" s="10"/>
      <c r="K21" s="9"/>
      <c r="L21"/>
      <c r="M21"/>
    </row>
    <row r="22" spans="2:13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3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3" ht="15.75" x14ac:dyDescent="0.25">
      <c r="B24" s="17">
        <v>16</v>
      </c>
      <c r="C24" s="22">
        <f>SUM(C34*0.07)+C34</f>
        <v>1.6653480000000001</v>
      </c>
      <c r="D24" s="22">
        <f>SUM(C34*0.04)+C34</f>
        <v>1.6186560000000001</v>
      </c>
      <c r="E24" s="22">
        <f>SUM(C34*0.04)+C34</f>
        <v>1.6186560000000001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3" ht="15.75" x14ac:dyDescent="0.25">
      <c r="B25" s="17">
        <v>18</v>
      </c>
      <c r="C25" s="22">
        <f>SUM(C34*0.07)+C34</f>
        <v>1.6653480000000001</v>
      </c>
      <c r="D25" s="22">
        <f>SUM(C34*0.04)+C34</f>
        <v>1.6186560000000001</v>
      </c>
      <c r="E25" s="22">
        <f>SUM(C34*0.04)+C34</f>
        <v>1.6186560000000001</v>
      </c>
      <c r="F25" s="16"/>
      <c r="G25" s="18">
        <v>2</v>
      </c>
      <c r="H25" s="22">
        <f>SUM(H34*0.14)+H34</f>
        <v>1.455552</v>
      </c>
      <c r="I25" s="22">
        <f>SUM(H34*0.11)+H34</f>
        <v>1.4172479999999998</v>
      </c>
      <c r="J25" s="23" t="s">
        <v>2</v>
      </c>
      <c r="K25" s="9"/>
    </row>
    <row r="26" spans="2:13" ht="15.75" x14ac:dyDescent="0.25">
      <c r="B26" s="17" t="s">
        <v>3</v>
      </c>
      <c r="C26" s="22">
        <f>SUM(C34*0.08)+C34</f>
        <v>1.680912</v>
      </c>
      <c r="D26" s="22">
        <f>SUM(C34*0.05)+C34</f>
        <v>1.63422</v>
      </c>
      <c r="E26" s="22">
        <f>SUM(C34*0.05)+C34</f>
        <v>1.63422</v>
      </c>
      <c r="F26" s="16"/>
      <c r="G26" s="18">
        <v>2.5</v>
      </c>
      <c r="H26" s="22">
        <f>SUM(H34*0.12)+H34</f>
        <v>1.430016</v>
      </c>
      <c r="I26" s="22">
        <f>SUM(H34*0.09)+H34</f>
        <v>1.3917119999999998</v>
      </c>
      <c r="J26" s="23" t="s">
        <v>2</v>
      </c>
      <c r="K26" s="9"/>
    </row>
    <row r="27" spans="2:13" ht="15.75" x14ac:dyDescent="0.25">
      <c r="B27" s="17">
        <v>22</v>
      </c>
      <c r="C27" s="22">
        <f>SUM(C34*0.1)+C34</f>
        <v>1.71204</v>
      </c>
      <c r="D27" s="22">
        <f>SUM(C34*0.07)+C34</f>
        <v>1.6653480000000001</v>
      </c>
      <c r="E27" s="22">
        <f>SUM(C34*0.07)+C34</f>
        <v>1.6653480000000001</v>
      </c>
      <c r="F27" s="16"/>
      <c r="G27" s="18">
        <v>3.17</v>
      </c>
      <c r="H27" s="22">
        <f>SUM(H34*0.11)+H34</f>
        <v>1.4172479999999998</v>
      </c>
      <c r="I27" s="22">
        <f>SUM(H34*0.08)+H34</f>
        <v>1.3789439999999999</v>
      </c>
      <c r="J27" s="22">
        <f>SUM(H34*0.08)+H34</f>
        <v>1.3789439999999999</v>
      </c>
      <c r="K27" s="9"/>
    </row>
    <row r="28" spans="2:13" ht="15.75" x14ac:dyDescent="0.25">
      <c r="B28" s="17">
        <v>0.65</v>
      </c>
      <c r="C28" s="22">
        <f>SUM(C34*0.12)+C34</f>
        <v>1.7431680000000001</v>
      </c>
      <c r="D28" s="22">
        <f>SUM(C34*0.09)+C34</f>
        <v>1.6964760000000001</v>
      </c>
      <c r="E28" s="23" t="s">
        <v>2</v>
      </c>
      <c r="F28" s="16"/>
      <c r="G28" s="18" t="s">
        <v>4</v>
      </c>
      <c r="H28" s="22">
        <f>SUM(H34*0.1)+H34</f>
        <v>1.40448</v>
      </c>
      <c r="I28" s="22">
        <f>SUM(H34*0.07+H34)</f>
        <v>1.3661759999999998</v>
      </c>
      <c r="J28" s="22">
        <f>SUM(H34*0.07)+H34</f>
        <v>1.3661759999999998</v>
      </c>
      <c r="K28" s="9"/>
    </row>
    <row r="29" spans="2:13" ht="15.75" x14ac:dyDescent="0.25">
      <c r="B29" s="17">
        <v>24</v>
      </c>
      <c r="C29" s="22">
        <f>SUM(C34*0.16)+C34</f>
        <v>1.8054239999999999</v>
      </c>
      <c r="D29" s="22">
        <f>SUM(C34*0.13)+C34</f>
        <v>1.758732</v>
      </c>
      <c r="E29" s="23" t="s">
        <v>2</v>
      </c>
      <c r="F29" s="16"/>
      <c r="G29" s="18">
        <v>6.35</v>
      </c>
      <c r="H29" s="22">
        <f>SUM(H34*0.11)+H34</f>
        <v>1.4172479999999998</v>
      </c>
      <c r="I29" s="22">
        <f>SUM(H34*0.08)+H34</f>
        <v>1.3789439999999999</v>
      </c>
      <c r="J29" s="22">
        <f>SUM(H34*0.08)+H34</f>
        <v>1.3789439999999999</v>
      </c>
      <c r="K29" s="9"/>
    </row>
    <row r="30" spans="2:13" ht="15.75" x14ac:dyDescent="0.25">
      <c r="B30" s="17">
        <v>26</v>
      </c>
      <c r="C30" s="22">
        <f>SUM(C34*0.2)+C34</f>
        <v>1.86768</v>
      </c>
      <c r="D30" s="22">
        <f>SUM(C34*0.15)+C34</f>
        <v>1.78986</v>
      </c>
      <c r="E30" s="23" t="s">
        <v>2</v>
      </c>
      <c r="F30" s="16"/>
      <c r="G30" s="18">
        <v>8</v>
      </c>
      <c r="H30" s="22">
        <f>SUM(H34*0.11)+H34</f>
        <v>1.4172479999999998</v>
      </c>
      <c r="I30" s="22">
        <f>SUM(H34*0.08)+H34</f>
        <v>1.3789439999999999</v>
      </c>
      <c r="J30" s="22">
        <f>SUM(H34*0.08)+H34</f>
        <v>1.3789439999999999</v>
      </c>
      <c r="K30" s="9"/>
    </row>
    <row r="31" spans="2:13" ht="15.75" x14ac:dyDescent="0.25">
      <c r="B31" s="17">
        <v>27</v>
      </c>
      <c r="C31" s="22">
        <f>SUM(C34*0.26)+C34</f>
        <v>1.9610639999999999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1.430016</v>
      </c>
      <c r="I31" s="22">
        <f>SUM(H34*0.09)+H34</f>
        <v>1.3917119999999998</v>
      </c>
      <c r="J31" s="22">
        <f>SUM(H34*0.09)+H34</f>
        <v>1.3917119999999998</v>
      </c>
      <c r="K31" s="9"/>
    </row>
    <row r="32" spans="2:13" ht="15.75" x14ac:dyDescent="0.25">
      <c r="B32" s="17">
        <v>30</v>
      </c>
      <c r="C32" s="22">
        <f>SUM(C34*0.32)+C34</f>
        <v>2.0544479999999998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1.430016</v>
      </c>
      <c r="I32" s="22">
        <f>SUM(H34*0.09)+H34</f>
        <v>1.3917119999999998</v>
      </c>
      <c r="J32" s="22">
        <f>SUM(H34*0.09)+H34</f>
        <v>1.3917119999999998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SUM(INICIO!J111)</f>
        <v>1.5564</v>
      </c>
      <c r="D34" s="10"/>
      <c r="E34" s="10"/>
      <c r="F34" s="10"/>
      <c r="G34" s="26" t="s">
        <v>5</v>
      </c>
      <c r="H34" s="27">
        <f>SUM(INICIO!P111)</f>
        <v>1.2767999999999999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1.5168383999999999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1.5027935999999997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1.5168383999999999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B1:M4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3" ht="15.75" thickBot="1" x14ac:dyDescent="0.3">
      <c r="L1"/>
      <c r="M1"/>
    </row>
    <row r="2" spans="2:13" ht="19.5" thickBot="1" x14ac:dyDescent="0.3">
      <c r="B2" s="11" t="s">
        <v>15</v>
      </c>
      <c r="D2" s="263" t="str">
        <f>PROPER(INICIO!D112)</f>
        <v>Mariano Trailer</v>
      </c>
      <c r="E2" s="264"/>
      <c r="F2" s="264"/>
      <c r="G2" s="265"/>
      <c r="L2"/>
      <c r="M2"/>
    </row>
    <row r="3" spans="2:13" ht="15.75" thickBot="1" x14ac:dyDescent="0.3">
      <c r="L3"/>
      <c r="M3"/>
    </row>
    <row r="4" spans="2:13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3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  <c r="L5"/>
      <c r="M5"/>
    </row>
    <row r="6" spans="2:13" ht="15.75" x14ac:dyDescent="0.25">
      <c r="B6" s="17">
        <v>16</v>
      </c>
      <c r="C6" s="40">
        <f>SUM(C16*0.07)+C16</f>
        <v>2494.6913039999999</v>
      </c>
      <c r="D6" s="40">
        <f>SUM(C16*0.04)+C16</f>
        <v>2424.7466880000002</v>
      </c>
      <c r="E6" s="40">
        <f>SUM(C16*0.04)+C16</f>
        <v>2424.7466880000002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44"/>
      <c r="L6"/>
      <c r="M6"/>
    </row>
    <row r="7" spans="2:13" ht="15.75" x14ac:dyDescent="0.25">
      <c r="B7" s="17">
        <v>18</v>
      </c>
      <c r="C7" s="40">
        <f>SUM(C16*0.07)+C16</f>
        <v>2494.6913039999999</v>
      </c>
      <c r="D7" s="40">
        <f>SUM(C16*0.04)+C16</f>
        <v>2424.7466880000002</v>
      </c>
      <c r="E7" s="40">
        <f>SUM(C16*0.04)+C16</f>
        <v>2424.7466880000002</v>
      </c>
      <c r="F7" s="16"/>
      <c r="G7" s="18">
        <v>2</v>
      </c>
      <c r="H7" s="40">
        <f>SUM(H16*0.14)+H16</f>
        <v>2277.7569359999998</v>
      </c>
      <c r="I7" s="40">
        <f>SUM(H16*0.11)+H16</f>
        <v>2217.8159639999999</v>
      </c>
      <c r="J7" s="40" t="s">
        <v>2</v>
      </c>
      <c r="K7" s="44"/>
      <c r="L7"/>
      <c r="M7"/>
    </row>
    <row r="8" spans="2:13" ht="15.75" x14ac:dyDescent="0.25">
      <c r="B8" s="17" t="s">
        <v>3</v>
      </c>
      <c r="C8" s="40">
        <f>SUM(C16*0.08)+C16</f>
        <v>2518.0061759999999</v>
      </c>
      <c r="D8" s="40">
        <f>SUM(C16*0.05)+C16</f>
        <v>2448.0615600000001</v>
      </c>
      <c r="E8" s="40">
        <f>SUM(C16*0.05)+C16</f>
        <v>2448.0615600000001</v>
      </c>
      <c r="F8" s="16"/>
      <c r="G8" s="18">
        <v>2.5</v>
      </c>
      <c r="H8" s="40">
        <f>SUM(H16*0.12)+H16</f>
        <v>2237.796288</v>
      </c>
      <c r="I8" s="40">
        <f>SUM(H16*0.09)+H16</f>
        <v>2177.8553159999997</v>
      </c>
      <c r="J8" s="40" t="s">
        <v>2</v>
      </c>
      <c r="K8" s="44"/>
      <c r="L8"/>
      <c r="M8"/>
    </row>
    <row r="9" spans="2:13" ht="15.75" x14ac:dyDescent="0.25">
      <c r="B9" s="17">
        <v>22</v>
      </c>
      <c r="C9" s="40">
        <f>SUM(C16*0.1)+C16</f>
        <v>2564.6359200000002</v>
      </c>
      <c r="D9" s="40">
        <f>SUM(C16*0.07)+C16</f>
        <v>2494.6913039999999</v>
      </c>
      <c r="E9" s="40">
        <f>SUM(C16*0.07)+C16</f>
        <v>2494.6913039999999</v>
      </c>
      <c r="F9" s="16"/>
      <c r="G9" s="18">
        <v>3.17</v>
      </c>
      <c r="H9" s="40">
        <f>SUM(H16*0.11)+H16</f>
        <v>2217.8159639999999</v>
      </c>
      <c r="I9" s="40">
        <f>SUM(H16*0.08)+H16</f>
        <v>2157.874992</v>
      </c>
      <c r="J9" s="40">
        <f>SUM(H16*0.08)+H16</f>
        <v>2157.874992</v>
      </c>
      <c r="K9" s="44"/>
      <c r="L9"/>
      <c r="M9"/>
    </row>
    <row r="10" spans="2:13" ht="15.75" x14ac:dyDescent="0.25">
      <c r="B10" s="17">
        <v>0.65</v>
      </c>
      <c r="C10" s="40">
        <f>SUM(C16*0.12)+C16</f>
        <v>2611.265664</v>
      </c>
      <c r="D10" s="40">
        <f>SUM(C16*0.09)+C16</f>
        <v>2541.3210479999998</v>
      </c>
      <c r="E10" s="40" t="s">
        <v>2</v>
      </c>
      <c r="F10" s="16"/>
      <c r="G10" s="18" t="s">
        <v>4</v>
      </c>
      <c r="H10" s="40">
        <f>SUM(H16*0.1)+H16</f>
        <v>2197.8356399999998</v>
      </c>
      <c r="I10" s="40">
        <f>SUM(H16*0.07+H16)</f>
        <v>2137.8946679999999</v>
      </c>
      <c r="J10" s="40">
        <f>SUM(H16*0.07)+H16</f>
        <v>2137.8946679999999</v>
      </c>
      <c r="K10" s="44"/>
      <c r="L10"/>
      <c r="M10"/>
    </row>
    <row r="11" spans="2:13" ht="15.75" x14ac:dyDescent="0.25">
      <c r="B11" s="17">
        <v>24</v>
      </c>
      <c r="C11" s="40">
        <f>SUM(C16*0.16)+C16</f>
        <v>2704.5251520000002</v>
      </c>
      <c r="D11" s="40">
        <f>SUM(C16*0.13)+C16</f>
        <v>2634.5805359999999</v>
      </c>
      <c r="E11" s="40" t="s">
        <v>2</v>
      </c>
      <c r="F11" s="16"/>
      <c r="G11" s="18">
        <v>6.35</v>
      </c>
      <c r="H11" s="40">
        <f>SUM(H16*0.11)+H16</f>
        <v>2217.8159639999999</v>
      </c>
      <c r="I11" s="40">
        <f>SUM(H16*0.08)+H16</f>
        <v>2157.874992</v>
      </c>
      <c r="J11" s="40">
        <f>SUM(H16*0.08)+H16</f>
        <v>2157.874992</v>
      </c>
      <c r="K11" s="44"/>
      <c r="L11"/>
      <c r="M11"/>
    </row>
    <row r="12" spans="2:13" ht="15.75" x14ac:dyDescent="0.25">
      <c r="B12" s="17">
        <v>26</v>
      </c>
      <c r="C12" s="40">
        <f>SUM(C16*0.2)+C16</f>
        <v>2797.7846399999999</v>
      </c>
      <c r="D12" s="40">
        <f>SUM(C16*0.15)+C16</f>
        <v>2681.2102800000002</v>
      </c>
      <c r="E12" s="40" t="s">
        <v>2</v>
      </c>
      <c r="F12" s="16"/>
      <c r="G12" s="18">
        <v>8</v>
      </c>
      <c r="H12" s="40">
        <f>SUM(H16*0.11)+H16</f>
        <v>2217.8159639999999</v>
      </c>
      <c r="I12" s="40">
        <f>SUM(H16*0.08)+H16</f>
        <v>2157.874992</v>
      </c>
      <c r="J12" s="40">
        <f>SUM(H16*0.08)+H16</f>
        <v>2157.874992</v>
      </c>
      <c r="K12" s="44"/>
      <c r="L12"/>
      <c r="M12"/>
    </row>
    <row r="13" spans="2:13" ht="15.75" x14ac:dyDescent="0.25">
      <c r="B13" s="17">
        <v>27</v>
      </c>
      <c r="C13" s="40">
        <f>SUM(C16*0.26)+C16</f>
        <v>2937.6738720000003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2237.796288</v>
      </c>
      <c r="I13" s="40">
        <f>SUM(H16*0.09)+H16</f>
        <v>2177.8553159999997</v>
      </c>
      <c r="J13" s="40">
        <f>SUM(H16*0.1)+H16</f>
        <v>2197.8356399999998</v>
      </c>
      <c r="K13" s="44"/>
      <c r="L13"/>
      <c r="M13"/>
    </row>
    <row r="14" spans="2:13" ht="15.75" x14ac:dyDescent="0.25">
      <c r="B14" s="17">
        <v>30</v>
      </c>
      <c r="C14" s="40">
        <f>SUM(C16*0.32)+C16</f>
        <v>3077.5631039999998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2237.796288</v>
      </c>
      <c r="I14" s="40">
        <f>SUM(H16*0.09)+H16</f>
        <v>2177.8553159999997</v>
      </c>
      <c r="J14" s="40">
        <f>SUM(H16*0.1)+H16</f>
        <v>2197.8356399999998</v>
      </c>
      <c r="K14" s="44"/>
      <c r="L14"/>
      <c r="M14"/>
    </row>
    <row r="15" spans="2:13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44"/>
      <c r="L15"/>
      <c r="M15"/>
    </row>
    <row r="16" spans="2:13" ht="16.5" thickBot="1" x14ac:dyDescent="0.3">
      <c r="B16" s="14" t="s">
        <v>5</v>
      </c>
      <c r="C16" s="41">
        <f>SUM(INICIO!K112)</f>
        <v>2331.4872</v>
      </c>
      <c r="D16" s="43"/>
      <c r="E16" s="43"/>
      <c r="F16" s="10"/>
      <c r="G16" s="26" t="s">
        <v>5</v>
      </c>
      <c r="H16" s="42">
        <f>SUM(INICIO!Q112)</f>
        <v>1998.0323999999998</v>
      </c>
      <c r="I16" s="43"/>
      <c r="J16" s="43"/>
      <c r="K16" s="44"/>
      <c r="L16"/>
      <c r="M16"/>
    </row>
    <row r="17" spans="2:13" ht="15.75" x14ac:dyDescent="0.25">
      <c r="B17" s="10"/>
      <c r="C17" s="10"/>
      <c r="D17" s="10"/>
      <c r="E17" s="10"/>
      <c r="F17" s="10"/>
      <c r="G17" s="10"/>
      <c r="H17" s="43"/>
      <c r="I17" s="43"/>
      <c r="J17" s="43"/>
      <c r="K17" s="44"/>
      <c r="L17"/>
      <c r="M17"/>
    </row>
    <row r="18" spans="2:13" ht="15.75" x14ac:dyDescent="0.25">
      <c r="B18" s="17">
        <v>3.17</v>
      </c>
      <c r="C18" s="8">
        <v>1245</v>
      </c>
      <c r="D18" s="23" t="s">
        <v>6</v>
      </c>
      <c r="E18" s="40">
        <f>SUM(I9*0.1)+I9</f>
        <v>2373.6624912000002</v>
      </c>
      <c r="F18" s="10"/>
      <c r="G18" s="10"/>
      <c r="H18" s="19"/>
      <c r="I18" s="10" t="s">
        <v>7</v>
      </c>
      <c r="J18" s="10"/>
      <c r="K18" s="9"/>
      <c r="L18"/>
      <c r="M18"/>
    </row>
    <row r="19" spans="2:13" ht="15.75" x14ac:dyDescent="0.25">
      <c r="B19" s="17">
        <v>4.75</v>
      </c>
      <c r="C19" s="8">
        <v>1500</v>
      </c>
      <c r="D19" s="23" t="s">
        <v>6</v>
      </c>
      <c r="E19" s="40">
        <f>SUM(J10*0.1)+J10</f>
        <v>2351.6841347999998</v>
      </c>
      <c r="F19" s="10"/>
      <c r="G19" s="10"/>
      <c r="H19" s="20"/>
      <c r="I19" s="10" t="s">
        <v>8</v>
      </c>
      <c r="J19" s="10"/>
      <c r="K19" s="9"/>
      <c r="L19"/>
      <c r="M19"/>
    </row>
    <row r="20" spans="2:13" ht="15.75" x14ac:dyDescent="0.25">
      <c r="B20" s="17">
        <v>6.35</v>
      </c>
      <c r="C20" s="8">
        <v>1500</v>
      </c>
      <c r="D20" s="23" t="s">
        <v>6</v>
      </c>
      <c r="E20" s="40">
        <f>SUM(J11*0.1)+J11</f>
        <v>2373.6624912000002</v>
      </c>
      <c r="F20" s="10"/>
      <c r="G20" s="10"/>
      <c r="H20" s="21"/>
      <c r="I20" s="10" t="s">
        <v>9</v>
      </c>
      <c r="J20" s="10"/>
      <c r="K20" s="9"/>
      <c r="L20"/>
      <c r="M20"/>
    </row>
    <row r="21" spans="2:13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  <c r="L21"/>
      <c r="M21"/>
    </row>
    <row r="22" spans="2:13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3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3" ht="15.75" x14ac:dyDescent="0.25">
      <c r="B24" s="17">
        <v>16</v>
      </c>
      <c r="C24" s="22">
        <f>SUM(C34*0.07)+C34</f>
        <v>1.6653480000000001</v>
      </c>
      <c r="D24" s="22">
        <f>SUM(C34*0.04)+C34</f>
        <v>1.6186560000000001</v>
      </c>
      <c r="E24" s="22">
        <f>SUM(C34*0.04)+C34</f>
        <v>1.6186560000000001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3" ht="15.75" x14ac:dyDescent="0.25">
      <c r="B25" s="17">
        <v>18</v>
      </c>
      <c r="C25" s="22">
        <f>SUM(C34*0.07)+C34</f>
        <v>1.6653480000000001</v>
      </c>
      <c r="D25" s="22">
        <f>SUM(C34*0.04)+C34</f>
        <v>1.6186560000000001</v>
      </c>
      <c r="E25" s="22">
        <f>SUM(C34*0.04)+C34</f>
        <v>1.6186560000000001</v>
      </c>
      <c r="F25" s="16"/>
      <c r="G25" s="18">
        <v>2</v>
      </c>
      <c r="H25" s="22">
        <f>SUM(H34*0.14)+H34</f>
        <v>1.5205319999999998</v>
      </c>
      <c r="I25" s="22">
        <f>SUM(H34*0.11)+H34</f>
        <v>1.4805179999999998</v>
      </c>
      <c r="J25" s="23" t="s">
        <v>2</v>
      </c>
      <c r="K25" s="9"/>
    </row>
    <row r="26" spans="2:13" ht="15.75" x14ac:dyDescent="0.25">
      <c r="B26" s="17" t="s">
        <v>3</v>
      </c>
      <c r="C26" s="22">
        <f>SUM(C34*0.08)+C34</f>
        <v>1.680912</v>
      </c>
      <c r="D26" s="22">
        <f>SUM(C34*0.05)+C34</f>
        <v>1.63422</v>
      </c>
      <c r="E26" s="22">
        <f>SUM(C34*0.05)+C34</f>
        <v>1.63422</v>
      </c>
      <c r="F26" s="16"/>
      <c r="G26" s="18">
        <v>2.5</v>
      </c>
      <c r="H26" s="22">
        <f>SUM(H34*0.12)+H34</f>
        <v>1.4938559999999999</v>
      </c>
      <c r="I26" s="22">
        <f>SUM(H34*0.09)+H34</f>
        <v>1.4538419999999999</v>
      </c>
      <c r="J26" s="23" t="s">
        <v>2</v>
      </c>
      <c r="K26" s="9"/>
    </row>
    <row r="27" spans="2:13" ht="15.75" x14ac:dyDescent="0.25">
      <c r="B27" s="17">
        <v>22</v>
      </c>
      <c r="C27" s="22">
        <f>SUM(C34*0.1)+C34</f>
        <v>1.71204</v>
      </c>
      <c r="D27" s="22">
        <f>SUM(C34*0.07)+C34</f>
        <v>1.6653480000000001</v>
      </c>
      <c r="E27" s="22">
        <f>SUM(C34*0.07)+C34</f>
        <v>1.6653480000000001</v>
      </c>
      <c r="F27" s="16"/>
      <c r="G27" s="18">
        <v>3.17</v>
      </c>
      <c r="H27" s="22">
        <f>SUM(H34*0.11)+H34</f>
        <v>1.4805179999999998</v>
      </c>
      <c r="I27" s="22">
        <f>SUM(H34*0.08)+H34</f>
        <v>1.4405039999999998</v>
      </c>
      <c r="J27" s="22">
        <f>SUM(H34*0.08)+H34</f>
        <v>1.4405039999999998</v>
      </c>
      <c r="K27" s="9"/>
    </row>
    <row r="28" spans="2:13" ht="15.75" x14ac:dyDescent="0.25">
      <c r="B28" s="17">
        <v>0.65</v>
      </c>
      <c r="C28" s="22">
        <f>SUM(C34*0.12)+C34</f>
        <v>1.7431680000000001</v>
      </c>
      <c r="D28" s="22">
        <f>SUM(C34*0.09)+C34</f>
        <v>1.6964760000000001</v>
      </c>
      <c r="E28" s="23" t="s">
        <v>2</v>
      </c>
      <c r="F28" s="16"/>
      <c r="G28" s="18" t="s">
        <v>4</v>
      </c>
      <c r="H28" s="22">
        <f>SUM(H34*0.1)+H34</f>
        <v>1.4671799999999999</v>
      </c>
      <c r="I28" s="22">
        <f>SUM(H34*0.07+H34)</f>
        <v>1.4271659999999999</v>
      </c>
      <c r="J28" s="22">
        <f>SUM(H34*0.07)+H34</f>
        <v>1.4271659999999999</v>
      </c>
      <c r="K28" s="9"/>
    </row>
    <row r="29" spans="2:13" ht="15.75" x14ac:dyDescent="0.25">
      <c r="B29" s="17">
        <v>24</v>
      </c>
      <c r="C29" s="22">
        <f>SUM(C34*0.16)+C34</f>
        <v>1.8054239999999999</v>
      </c>
      <c r="D29" s="22">
        <f>SUM(C34*0.13)+C34</f>
        <v>1.758732</v>
      </c>
      <c r="E29" s="23" t="s">
        <v>2</v>
      </c>
      <c r="F29" s="16"/>
      <c r="G29" s="18">
        <v>6.35</v>
      </c>
      <c r="H29" s="22">
        <f>SUM(H34*0.11)+H34</f>
        <v>1.4805179999999998</v>
      </c>
      <c r="I29" s="22">
        <f>SUM(H34*0.08)+H34</f>
        <v>1.4405039999999998</v>
      </c>
      <c r="J29" s="22">
        <f>SUM(H34*0.08)+H34</f>
        <v>1.4405039999999998</v>
      </c>
      <c r="K29" s="9"/>
    </row>
    <row r="30" spans="2:13" ht="15.75" x14ac:dyDescent="0.25">
      <c r="B30" s="17">
        <v>26</v>
      </c>
      <c r="C30" s="22">
        <f>SUM(C34*0.2)+C34</f>
        <v>1.86768</v>
      </c>
      <c r="D30" s="22">
        <f>SUM(C34*0.15)+C34</f>
        <v>1.78986</v>
      </c>
      <c r="E30" s="23" t="s">
        <v>2</v>
      </c>
      <c r="F30" s="16"/>
      <c r="G30" s="18">
        <v>8</v>
      </c>
      <c r="H30" s="22">
        <f>SUM(H34*0.11)+H34</f>
        <v>1.4805179999999998</v>
      </c>
      <c r="I30" s="22">
        <f>SUM(H34*0.08)+H34</f>
        <v>1.4405039999999998</v>
      </c>
      <c r="J30" s="22">
        <f>SUM(H34*0.08)+H34</f>
        <v>1.4405039999999998</v>
      </c>
      <c r="K30" s="9"/>
    </row>
    <row r="31" spans="2:13" ht="15.75" x14ac:dyDescent="0.25">
      <c r="B31" s="17">
        <v>27</v>
      </c>
      <c r="C31" s="22">
        <f>SUM(C34*0.26)+C34</f>
        <v>1.9610639999999999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1.4938559999999999</v>
      </c>
      <c r="I31" s="22">
        <f>SUM(H34*0.09)+H34</f>
        <v>1.4538419999999999</v>
      </c>
      <c r="J31" s="22">
        <f>SUM(H34*0.1)+H34</f>
        <v>1.4671799999999999</v>
      </c>
      <c r="K31" s="9"/>
    </row>
    <row r="32" spans="2:13" ht="15.75" x14ac:dyDescent="0.25">
      <c r="B32" s="17">
        <v>30</v>
      </c>
      <c r="C32" s="22">
        <f>SUM(C34*0.32)+C34</f>
        <v>2.0544479999999998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1.4938559999999999</v>
      </c>
      <c r="I32" s="22">
        <f>SUM(H34*0.09)+H34</f>
        <v>1.4538419999999999</v>
      </c>
      <c r="J32" s="22">
        <f>SUM(H34*0.1)+H34</f>
        <v>1.4671799999999999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SUM(INICIO!J112)</f>
        <v>1.5564</v>
      </c>
      <c r="D34" s="10"/>
      <c r="E34" s="10"/>
      <c r="F34" s="10"/>
      <c r="G34" s="26" t="s">
        <v>5</v>
      </c>
      <c r="H34" s="27">
        <f>SUM(INICIO!P112)</f>
        <v>1.3337999999999999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1.5845543999999998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1.5698825999999999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1.5845543999999998</v>
      </c>
      <c r="F38" s="10"/>
      <c r="G38" s="10"/>
      <c r="H38" s="21"/>
      <c r="I38" s="10" t="s">
        <v>9</v>
      </c>
      <c r="J38" s="10"/>
      <c r="K38" s="9"/>
    </row>
    <row r="42" spans="2:11" ht="15.75" x14ac:dyDescent="0.25">
      <c r="B42" s="14" t="s">
        <v>0</v>
      </c>
      <c r="C42" s="15" t="s">
        <v>74</v>
      </c>
    </row>
    <row r="43" spans="2:11" ht="15.75" x14ac:dyDescent="0.25">
      <c r="B43" s="17" t="s">
        <v>78</v>
      </c>
      <c r="C43" s="73">
        <v>25.89</v>
      </c>
      <c r="D43" s="1" t="s">
        <v>97</v>
      </c>
    </row>
    <row r="44" spans="2:11" ht="15.75" x14ac:dyDescent="0.25">
      <c r="B44" s="17" t="s">
        <v>79</v>
      </c>
      <c r="C44" s="73">
        <v>34.76</v>
      </c>
      <c r="D44" s="1" t="s">
        <v>97</v>
      </c>
    </row>
    <row r="45" spans="2:11" ht="15.75" x14ac:dyDescent="0.25">
      <c r="B45" s="17" t="s">
        <v>80</v>
      </c>
      <c r="C45" s="73">
        <v>30.29</v>
      </c>
      <c r="D45" s="1" t="s">
        <v>97</v>
      </c>
      <c r="E45" s="74" t="s">
        <v>105</v>
      </c>
    </row>
    <row r="46" spans="2:11" ht="15.75" x14ac:dyDescent="0.25">
      <c r="B46" s="17" t="s">
        <v>81</v>
      </c>
      <c r="C46" s="73">
        <v>36.619999999999997</v>
      </c>
      <c r="D46" s="1" t="s">
        <v>100</v>
      </c>
    </row>
    <row r="47" spans="2:11" ht="15.75" x14ac:dyDescent="0.25">
      <c r="B47" s="17" t="s">
        <v>85</v>
      </c>
      <c r="C47" s="73">
        <v>14.48</v>
      </c>
      <c r="D47" s="1" t="s">
        <v>97</v>
      </c>
    </row>
    <row r="48" spans="2:11" ht="15.75" x14ac:dyDescent="0.25">
      <c r="B48" s="17" t="s">
        <v>95</v>
      </c>
      <c r="C48" s="73">
        <v>18</v>
      </c>
      <c r="D48" s="1" t="s">
        <v>97</v>
      </c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B1:M38"/>
  <sheetViews>
    <sheetView showGridLines="0" workbookViewId="0"/>
  </sheetViews>
  <sheetFormatPr baseColWidth="10" defaultColWidth="11.42578125" defaultRowHeight="15" x14ac:dyDescent="0.25"/>
  <cols>
    <col min="1" max="16384" width="11.42578125" style="1"/>
  </cols>
  <sheetData>
    <row r="1" spans="2:13" ht="15.75" thickBot="1" x14ac:dyDescent="0.3">
      <c r="L1"/>
      <c r="M1"/>
    </row>
    <row r="2" spans="2:13" ht="19.5" thickBot="1" x14ac:dyDescent="0.3">
      <c r="B2" s="11" t="s">
        <v>15</v>
      </c>
      <c r="D2" s="263" t="str">
        <f>PROPER(INICIO!D113)</f>
        <v>Fametal</v>
      </c>
      <c r="E2" s="264"/>
      <c r="F2" s="264"/>
      <c r="G2" s="265"/>
      <c r="L2"/>
      <c r="M2"/>
    </row>
    <row r="3" spans="2:13" ht="15.75" thickBot="1" x14ac:dyDescent="0.3">
      <c r="L3"/>
      <c r="M3"/>
    </row>
    <row r="4" spans="2:13" ht="19.5" thickBot="1" x14ac:dyDescent="0.35">
      <c r="B4" s="266" t="s">
        <v>30</v>
      </c>
      <c r="C4" s="267"/>
      <c r="D4" s="267"/>
      <c r="E4" s="267"/>
      <c r="F4" s="267"/>
      <c r="G4" s="267"/>
      <c r="H4" s="267"/>
      <c r="I4" s="267"/>
      <c r="J4" s="268"/>
    </row>
    <row r="5" spans="2:13" ht="15.75" x14ac:dyDescent="0.25">
      <c r="B5" s="14" t="s">
        <v>0</v>
      </c>
      <c r="C5" s="15">
        <v>1000</v>
      </c>
      <c r="D5" s="15">
        <v>1220</v>
      </c>
      <c r="E5" s="15">
        <v>1500</v>
      </c>
      <c r="F5" s="16"/>
      <c r="G5" s="25" t="s">
        <v>1</v>
      </c>
      <c r="H5" s="8">
        <v>1000</v>
      </c>
      <c r="I5" s="8">
        <v>1245</v>
      </c>
      <c r="J5" s="8">
        <v>1500</v>
      </c>
      <c r="K5" s="9"/>
      <c r="L5"/>
      <c r="M5"/>
    </row>
    <row r="6" spans="2:13" ht="15.75" x14ac:dyDescent="0.25">
      <c r="B6" s="17">
        <v>16</v>
      </c>
      <c r="C6" s="40">
        <f>SUM(C16*0.07)+C16</f>
        <v>2473.9022097999996</v>
      </c>
      <c r="D6" s="40">
        <f>SUM(C16*0.04)+C16</f>
        <v>2404.5404655999996</v>
      </c>
      <c r="E6" s="40">
        <f>SUM(C16*0.04)+C16</f>
        <v>2404.5404655999996</v>
      </c>
      <c r="F6" s="16"/>
      <c r="G6" s="18">
        <v>1.6</v>
      </c>
      <c r="H6" s="40" t="s">
        <v>2</v>
      </c>
      <c r="I6" s="40" t="s">
        <v>2</v>
      </c>
      <c r="J6" s="40" t="s">
        <v>2</v>
      </c>
      <c r="K6" s="9"/>
      <c r="L6"/>
      <c r="M6"/>
    </row>
    <row r="7" spans="2:13" ht="15.75" x14ac:dyDescent="0.25">
      <c r="B7" s="17">
        <v>18</v>
      </c>
      <c r="C7" s="40">
        <f>SUM(C16*0.07)+C16</f>
        <v>2473.9022097999996</v>
      </c>
      <c r="D7" s="40">
        <f>SUM(C16*0.04)+C16</f>
        <v>2404.5404655999996</v>
      </c>
      <c r="E7" s="40">
        <f>SUM(C16*0.04)+C16</f>
        <v>2404.5404655999996</v>
      </c>
      <c r="F7" s="16"/>
      <c r="G7" s="18">
        <v>2</v>
      </c>
      <c r="H7" s="40">
        <f>SUM(H16*0.14)+H16</f>
        <v>2199.8849039999996</v>
      </c>
      <c r="I7" s="40">
        <f>SUM(H16*0.11)+H16</f>
        <v>2141.9931959999994</v>
      </c>
      <c r="J7" s="40" t="s">
        <v>2</v>
      </c>
      <c r="K7" s="9"/>
      <c r="L7"/>
      <c r="M7"/>
    </row>
    <row r="8" spans="2:13" ht="15.75" x14ac:dyDescent="0.25">
      <c r="B8" s="17" t="s">
        <v>3</v>
      </c>
      <c r="C8" s="40">
        <f>SUM(C16*0.08)+C16</f>
        <v>2497.0227911999996</v>
      </c>
      <c r="D8" s="40">
        <f>SUM(C16*0.05)+C16</f>
        <v>2427.6610469999996</v>
      </c>
      <c r="E8" s="40">
        <f>SUM(C16*0.05)+C16</f>
        <v>2427.6610469999996</v>
      </c>
      <c r="F8" s="16"/>
      <c r="G8" s="18">
        <v>2.5</v>
      </c>
      <c r="H8" s="40">
        <f>SUM(H16*0.12)+H16</f>
        <v>2161.2904319999993</v>
      </c>
      <c r="I8" s="40">
        <f>SUM(H16*0.09)+H16</f>
        <v>2103.3987239999997</v>
      </c>
      <c r="J8" s="40" t="s">
        <v>2</v>
      </c>
      <c r="K8" s="9"/>
      <c r="L8"/>
      <c r="M8"/>
    </row>
    <row r="9" spans="2:13" ht="15.75" x14ac:dyDescent="0.25">
      <c r="B9" s="17">
        <v>22</v>
      </c>
      <c r="C9" s="40">
        <f>SUM(C16*0.1)+C16</f>
        <v>2543.2639539999996</v>
      </c>
      <c r="D9" s="40">
        <f>SUM(C16*0.07)+C16</f>
        <v>2473.9022097999996</v>
      </c>
      <c r="E9" s="40">
        <f>SUM(C16*0.07)+C16</f>
        <v>2473.9022097999996</v>
      </c>
      <c r="F9" s="16"/>
      <c r="G9" s="18">
        <v>3.17</v>
      </c>
      <c r="H9" s="40">
        <f>SUM(H16*0.11)+H16</f>
        <v>2141.9931959999994</v>
      </c>
      <c r="I9" s="40">
        <f>SUM(H16*0.08)+H16</f>
        <v>2084.1014879999993</v>
      </c>
      <c r="J9" s="40">
        <f>SUM(H16*0.08)+H16</f>
        <v>2084.1014879999993</v>
      </c>
      <c r="K9" s="9"/>
      <c r="L9"/>
      <c r="M9"/>
    </row>
    <row r="10" spans="2:13" ht="15.75" x14ac:dyDescent="0.25">
      <c r="B10" s="17">
        <v>0.65</v>
      </c>
      <c r="C10" s="40">
        <f>SUM(C16*0.12)+C16</f>
        <v>2589.5051167999995</v>
      </c>
      <c r="D10" s="40">
        <f>SUM(C16*0.09)+C16</f>
        <v>2520.1433725999996</v>
      </c>
      <c r="E10" s="40" t="s">
        <v>2</v>
      </c>
      <c r="F10" s="16"/>
      <c r="G10" s="18" t="s">
        <v>4</v>
      </c>
      <c r="H10" s="40">
        <f>SUM(H16*0.1)+H16</f>
        <v>2122.6959599999996</v>
      </c>
      <c r="I10" s="40">
        <f>SUM(H16*0.07+H16)</f>
        <v>2064.8042519999995</v>
      </c>
      <c r="J10" s="40">
        <f>SUM(H16*0.07)+H16</f>
        <v>2064.8042519999995</v>
      </c>
      <c r="K10" s="9"/>
      <c r="L10"/>
      <c r="M10"/>
    </row>
    <row r="11" spans="2:13" ht="15.75" x14ac:dyDescent="0.25">
      <c r="B11" s="17">
        <v>24</v>
      </c>
      <c r="C11" s="40">
        <f>SUM(C16*0.16)+C16</f>
        <v>2681.9874423999995</v>
      </c>
      <c r="D11" s="40">
        <f>SUM(C16*0.13)+C16</f>
        <v>2612.6256981999995</v>
      </c>
      <c r="E11" s="40" t="s">
        <v>2</v>
      </c>
      <c r="F11" s="16"/>
      <c r="G11" s="18">
        <v>6.35</v>
      </c>
      <c r="H11" s="40">
        <f>SUM(H16*0.11)+H16</f>
        <v>2141.9931959999994</v>
      </c>
      <c r="I11" s="40">
        <f>SUM(H16*0.08)+H16</f>
        <v>2084.1014879999993</v>
      </c>
      <c r="J11" s="40">
        <f>SUM(H16*0.08)+H16</f>
        <v>2084.1014879999993</v>
      </c>
      <c r="K11" s="9"/>
      <c r="L11"/>
      <c r="M11"/>
    </row>
    <row r="12" spans="2:13" ht="15.75" x14ac:dyDescent="0.25">
      <c r="B12" s="17">
        <v>26</v>
      </c>
      <c r="C12" s="40">
        <f>SUM(C16*0.2)+C16</f>
        <v>2774.4697679999995</v>
      </c>
      <c r="D12" s="40">
        <f>SUM(C16*0.15)+C16</f>
        <v>2658.8668609999995</v>
      </c>
      <c r="E12" s="40" t="s">
        <v>2</v>
      </c>
      <c r="F12" s="16"/>
      <c r="G12" s="18">
        <v>8</v>
      </c>
      <c r="H12" s="40">
        <f>SUM(H16*0.11)+H16</f>
        <v>2141.9931959999994</v>
      </c>
      <c r="I12" s="40">
        <f>SUM(H16*0.08)+H16</f>
        <v>2084.1014879999993</v>
      </c>
      <c r="J12" s="40">
        <f>SUM(H16*0.08)+H16</f>
        <v>2084.1014879999993</v>
      </c>
      <c r="K12" s="9"/>
      <c r="L12"/>
      <c r="M12"/>
    </row>
    <row r="13" spans="2:13" ht="15.75" x14ac:dyDescent="0.25">
      <c r="B13" s="17">
        <v>27</v>
      </c>
      <c r="C13" s="40">
        <f>SUM(C16*0.26)+C16</f>
        <v>2913.1932563999994</v>
      </c>
      <c r="D13" s="40" t="s">
        <v>2</v>
      </c>
      <c r="E13" s="40" t="s">
        <v>2</v>
      </c>
      <c r="F13" s="16"/>
      <c r="G13" s="18">
        <v>9.52</v>
      </c>
      <c r="H13" s="40">
        <f>SUM(H16*0.12)+H16</f>
        <v>2161.2904319999993</v>
      </c>
      <c r="I13" s="40">
        <f>SUM(H16*0.09)+H16</f>
        <v>2103.3987239999997</v>
      </c>
      <c r="J13" s="40">
        <f>SUM(H16*0.1)+H16</f>
        <v>2122.6959599999996</v>
      </c>
      <c r="K13" s="9"/>
      <c r="L13"/>
      <c r="M13"/>
    </row>
    <row r="14" spans="2:13" ht="15.75" x14ac:dyDescent="0.25">
      <c r="B14" s="17">
        <v>30</v>
      </c>
      <c r="C14" s="40">
        <f>SUM(C16*0.32)+C16</f>
        <v>3051.9167447999994</v>
      </c>
      <c r="D14" s="40" t="s">
        <v>2</v>
      </c>
      <c r="E14" s="40" t="s">
        <v>2</v>
      </c>
      <c r="F14" s="16"/>
      <c r="G14" s="18">
        <v>12.7</v>
      </c>
      <c r="H14" s="40">
        <f>SUM(H16*0.12)+H16</f>
        <v>2161.2904319999993</v>
      </c>
      <c r="I14" s="40">
        <f>SUM(H16*0.09)+H16</f>
        <v>2103.3987239999997</v>
      </c>
      <c r="J14" s="40">
        <f>SUM(H16*0.1)+H16</f>
        <v>2122.6959599999996</v>
      </c>
      <c r="K14" s="9"/>
      <c r="L14"/>
      <c r="M14"/>
    </row>
    <row r="15" spans="2:13" ht="16.5" thickBot="1" x14ac:dyDescent="0.3">
      <c r="B15" s="10"/>
      <c r="C15" s="43"/>
      <c r="D15" s="43"/>
      <c r="E15" s="43"/>
      <c r="F15" s="10"/>
      <c r="G15" s="10"/>
      <c r="H15" s="43"/>
      <c r="I15" s="43"/>
      <c r="J15" s="43"/>
      <c r="K15" s="9"/>
      <c r="L15"/>
      <c r="M15"/>
    </row>
    <row r="16" spans="2:13" ht="16.5" thickBot="1" x14ac:dyDescent="0.3">
      <c r="B16" s="14" t="s">
        <v>5</v>
      </c>
      <c r="C16" s="41">
        <f>SUM(INICIO!K113)</f>
        <v>2312.0581399999996</v>
      </c>
      <c r="D16" s="43"/>
      <c r="E16" s="43"/>
      <c r="F16" s="10"/>
      <c r="G16" s="26" t="s">
        <v>5</v>
      </c>
      <c r="H16" s="42">
        <f>SUM(INICIO!Q113)</f>
        <v>1929.7235999999996</v>
      </c>
      <c r="I16" s="43"/>
      <c r="J16" s="43"/>
      <c r="K16" s="9"/>
      <c r="L16"/>
      <c r="M16"/>
    </row>
    <row r="17" spans="2:13" ht="15.75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9"/>
      <c r="L17"/>
      <c r="M17"/>
    </row>
    <row r="18" spans="2:13" ht="15.75" x14ac:dyDescent="0.25">
      <c r="B18" s="17">
        <v>3.17</v>
      </c>
      <c r="C18" s="8">
        <v>1245</v>
      </c>
      <c r="D18" s="23" t="s">
        <v>6</v>
      </c>
      <c r="E18" s="40">
        <f>SUM(I9*0.1)+I9</f>
        <v>2292.5116367999995</v>
      </c>
      <c r="F18" s="10"/>
      <c r="G18" s="10"/>
      <c r="H18" s="19"/>
      <c r="I18" s="10" t="s">
        <v>7</v>
      </c>
      <c r="J18" s="10"/>
      <c r="K18" s="9"/>
      <c r="L18"/>
      <c r="M18"/>
    </row>
    <row r="19" spans="2:13" ht="15.75" x14ac:dyDescent="0.25">
      <c r="B19" s="17">
        <v>4.75</v>
      </c>
      <c r="C19" s="8">
        <v>1500</v>
      </c>
      <c r="D19" s="23" t="s">
        <v>6</v>
      </c>
      <c r="E19" s="40">
        <f>SUM(J10*0.1)+J10</f>
        <v>2271.2846771999994</v>
      </c>
      <c r="F19" s="10"/>
      <c r="G19" s="10"/>
      <c r="H19" s="20"/>
      <c r="I19" s="10" t="s">
        <v>8</v>
      </c>
      <c r="J19" s="10"/>
      <c r="K19" s="9"/>
      <c r="L19"/>
      <c r="M19"/>
    </row>
    <row r="20" spans="2:13" ht="15.75" x14ac:dyDescent="0.25">
      <c r="B20" s="17">
        <v>6.35</v>
      </c>
      <c r="C20" s="8">
        <v>1500</v>
      </c>
      <c r="D20" s="23" t="s">
        <v>6</v>
      </c>
      <c r="E20" s="40">
        <f>SUM(J11*0.1)+J11</f>
        <v>2292.5116367999995</v>
      </c>
      <c r="F20" s="10"/>
      <c r="G20" s="10"/>
      <c r="H20" s="21"/>
      <c r="I20" s="10" t="s">
        <v>9</v>
      </c>
      <c r="J20" s="10"/>
      <c r="K20" s="9"/>
      <c r="L20"/>
      <c r="M20"/>
    </row>
    <row r="21" spans="2:13" ht="16.5" thickBot="1" x14ac:dyDescent="0.3">
      <c r="B21" s="10"/>
      <c r="C21" s="10"/>
      <c r="D21" s="10"/>
      <c r="E21" s="10"/>
      <c r="F21" s="10"/>
      <c r="G21" s="10"/>
      <c r="H21" s="10"/>
      <c r="I21" s="10"/>
      <c r="J21" s="10"/>
      <c r="K21" s="9"/>
      <c r="L21"/>
      <c r="M21"/>
    </row>
    <row r="22" spans="2:13" ht="19.5" thickBot="1" x14ac:dyDescent="0.35">
      <c r="B22" s="269" t="s">
        <v>31</v>
      </c>
      <c r="C22" s="270"/>
      <c r="D22" s="270"/>
      <c r="E22" s="270"/>
      <c r="F22" s="270"/>
      <c r="G22" s="270"/>
      <c r="H22" s="270"/>
      <c r="I22" s="270"/>
      <c r="J22" s="271"/>
    </row>
    <row r="23" spans="2:13" ht="15.75" x14ac:dyDescent="0.25">
      <c r="B23" s="14" t="s">
        <v>0</v>
      </c>
      <c r="C23" s="15">
        <v>1000</v>
      </c>
      <c r="D23" s="15">
        <v>1220</v>
      </c>
      <c r="E23" s="15">
        <v>1500</v>
      </c>
      <c r="F23" s="16"/>
      <c r="G23" s="25" t="s">
        <v>1</v>
      </c>
      <c r="H23" s="8">
        <v>1000</v>
      </c>
      <c r="I23" s="8">
        <v>1245</v>
      </c>
      <c r="J23" s="8">
        <v>1500</v>
      </c>
      <c r="K23" s="9"/>
    </row>
    <row r="24" spans="2:13" ht="15.75" x14ac:dyDescent="0.25">
      <c r="B24" s="17">
        <v>16</v>
      </c>
      <c r="C24" s="22">
        <f>SUM(C34*0.07)+C34</f>
        <v>1.6514700999999998</v>
      </c>
      <c r="D24" s="22">
        <f>SUM(C34*0.04)+C34</f>
        <v>1.6051671999999999</v>
      </c>
      <c r="E24" s="22">
        <f>SUM(C34*0.04)+C34</f>
        <v>1.6051671999999999</v>
      </c>
      <c r="F24" s="16"/>
      <c r="G24" s="18">
        <v>1.6</v>
      </c>
      <c r="H24" s="22" t="s">
        <v>2</v>
      </c>
      <c r="I24" s="23" t="s">
        <v>2</v>
      </c>
      <c r="J24" s="23" t="s">
        <v>2</v>
      </c>
      <c r="K24" s="9"/>
    </row>
    <row r="25" spans="2:13" ht="15.75" x14ac:dyDescent="0.25">
      <c r="B25" s="17">
        <v>18</v>
      </c>
      <c r="C25" s="22">
        <f>SUM(C34*0.07)+C34</f>
        <v>1.6514700999999998</v>
      </c>
      <c r="D25" s="22">
        <f>SUM(C34*0.04)+C34</f>
        <v>1.6051671999999999</v>
      </c>
      <c r="E25" s="22">
        <f>SUM(C34*0.04)+C34</f>
        <v>1.6051671999999999</v>
      </c>
      <c r="F25" s="16"/>
      <c r="G25" s="18">
        <v>2</v>
      </c>
      <c r="H25" s="22">
        <f>SUM(H34*0.14)+H34</f>
        <v>1.4685479999999997</v>
      </c>
      <c r="I25" s="22">
        <f>SUM(H34*0.11)+H34</f>
        <v>1.4299019999999998</v>
      </c>
      <c r="J25" s="23" t="s">
        <v>2</v>
      </c>
      <c r="K25" s="9"/>
    </row>
    <row r="26" spans="2:13" ht="15.75" x14ac:dyDescent="0.25">
      <c r="B26" s="17" t="s">
        <v>3</v>
      </c>
      <c r="C26" s="22">
        <f>SUM(C34*0.08)+C34</f>
        <v>1.6669044</v>
      </c>
      <c r="D26" s="22">
        <f>SUM(C34*0.05)+C34</f>
        <v>1.6206014999999998</v>
      </c>
      <c r="E26" s="22">
        <f>SUM(C34*0.05)+C34</f>
        <v>1.6206014999999998</v>
      </c>
      <c r="F26" s="16"/>
      <c r="G26" s="18">
        <v>2.5</v>
      </c>
      <c r="H26" s="22">
        <f>SUM(H34*0.12)+H34</f>
        <v>1.4427839999999998</v>
      </c>
      <c r="I26" s="22">
        <f>SUM(H34*0.09)+H34</f>
        <v>1.4041379999999997</v>
      </c>
      <c r="J26" s="23" t="s">
        <v>2</v>
      </c>
      <c r="K26" s="9"/>
    </row>
    <row r="27" spans="2:13" ht="15.75" x14ac:dyDescent="0.25">
      <c r="B27" s="17">
        <v>22</v>
      </c>
      <c r="C27" s="22">
        <f>SUM(C34*0.1)+C34</f>
        <v>1.6977729999999998</v>
      </c>
      <c r="D27" s="22">
        <f>SUM(C34*0.07)+C34</f>
        <v>1.6514700999999998</v>
      </c>
      <c r="E27" s="22">
        <f>SUM(C34*0.07)+C34</f>
        <v>1.6514700999999998</v>
      </c>
      <c r="F27" s="16"/>
      <c r="G27" s="18">
        <v>3.17</v>
      </c>
      <c r="H27" s="22">
        <f>SUM(H34*0.11)+H34</f>
        <v>1.4299019999999998</v>
      </c>
      <c r="I27" s="22">
        <f>SUM(H34*0.08)+H34</f>
        <v>1.3912559999999998</v>
      </c>
      <c r="J27" s="22">
        <f>SUM(H34*0.08)+H34</f>
        <v>1.3912559999999998</v>
      </c>
      <c r="K27" s="9"/>
    </row>
    <row r="28" spans="2:13" ht="15.75" x14ac:dyDescent="0.25">
      <c r="B28" s="17">
        <v>0.65</v>
      </c>
      <c r="C28" s="22">
        <f>SUM(C34*0.12)+C34</f>
        <v>1.7286415999999998</v>
      </c>
      <c r="D28" s="22">
        <f>SUM(C34*0.09)+C34</f>
        <v>1.6823386999999999</v>
      </c>
      <c r="E28" s="23" t="s">
        <v>2</v>
      </c>
      <c r="F28" s="16"/>
      <c r="G28" s="18" t="s">
        <v>4</v>
      </c>
      <c r="H28" s="22">
        <f>SUM(H34*0.1)+H34</f>
        <v>1.4170199999999997</v>
      </c>
      <c r="I28" s="22">
        <f>SUM(H34*0.07+H34)</f>
        <v>1.3783739999999998</v>
      </c>
      <c r="J28" s="22">
        <f>SUM(H34*0.07)+H34</f>
        <v>1.3783739999999998</v>
      </c>
      <c r="K28" s="9"/>
    </row>
    <row r="29" spans="2:13" ht="15.75" x14ac:dyDescent="0.25">
      <c r="B29" s="17">
        <v>24</v>
      </c>
      <c r="C29" s="22">
        <f>SUM(C34*0.16)+C34</f>
        <v>1.7903787999999998</v>
      </c>
      <c r="D29" s="22">
        <f>SUM(C34*0.13)+C34</f>
        <v>1.7440758999999999</v>
      </c>
      <c r="E29" s="23" t="s">
        <v>2</v>
      </c>
      <c r="F29" s="16"/>
      <c r="G29" s="18">
        <v>6.35</v>
      </c>
      <c r="H29" s="22">
        <f>SUM(H34*0.11)+H34</f>
        <v>1.4299019999999998</v>
      </c>
      <c r="I29" s="22">
        <f>SUM(H34*0.08)+H34</f>
        <v>1.3912559999999998</v>
      </c>
      <c r="J29" s="22">
        <f>SUM(H34*0.08)+H34</f>
        <v>1.3912559999999998</v>
      </c>
      <c r="K29" s="9"/>
    </row>
    <row r="30" spans="2:13" ht="15.75" x14ac:dyDescent="0.25">
      <c r="B30" s="17">
        <v>26</v>
      </c>
      <c r="C30" s="22">
        <f>SUM(C34*0.2)+C34</f>
        <v>1.8521159999999999</v>
      </c>
      <c r="D30" s="22">
        <f>SUM(C34*0.15)+C34</f>
        <v>1.7749444999999997</v>
      </c>
      <c r="E30" s="23" t="s">
        <v>2</v>
      </c>
      <c r="F30" s="16"/>
      <c r="G30" s="18">
        <v>8</v>
      </c>
      <c r="H30" s="22">
        <f>SUM(H34*0.11)+H34</f>
        <v>1.4299019999999998</v>
      </c>
      <c r="I30" s="22">
        <f>SUM(H34*0.08)+H34</f>
        <v>1.3912559999999998</v>
      </c>
      <c r="J30" s="22">
        <f>SUM(H34*0.08)+H34</f>
        <v>1.3912559999999998</v>
      </c>
      <c r="K30" s="9"/>
    </row>
    <row r="31" spans="2:13" ht="15.75" x14ac:dyDescent="0.25">
      <c r="B31" s="17">
        <v>27</v>
      </c>
      <c r="C31" s="22">
        <f>SUM(C34*0.26)+C34</f>
        <v>1.9447217999999999</v>
      </c>
      <c r="D31" s="23" t="s">
        <v>2</v>
      </c>
      <c r="E31" s="23" t="s">
        <v>2</v>
      </c>
      <c r="F31" s="16"/>
      <c r="G31" s="18">
        <v>9.52</v>
      </c>
      <c r="H31" s="22">
        <f>SUM(H34*0.12)+H34</f>
        <v>1.4427839999999998</v>
      </c>
      <c r="I31" s="22">
        <f>SUM(H34*0.09)+H34</f>
        <v>1.4041379999999997</v>
      </c>
      <c r="J31" s="22">
        <f>SUM(H34*0.1)+H34</f>
        <v>1.4170199999999997</v>
      </c>
      <c r="K31" s="9"/>
    </row>
    <row r="32" spans="2:13" ht="15.75" x14ac:dyDescent="0.25">
      <c r="B32" s="17">
        <v>30</v>
      </c>
      <c r="C32" s="22">
        <f>SUM(C34*0.32)+C34</f>
        <v>2.0373275999999998</v>
      </c>
      <c r="D32" s="23" t="s">
        <v>2</v>
      </c>
      <c r="E32" s="23" t="s">
        <v>2</v>
      </c>
      <c r="F32" s="16"/>
      <c r="G32" s="18">
        <v>12.7</v>
      </c>
      <c r="H32" s="22">
        <f>SUM(H34*0.12)+H34</f>
        <v>1.4427839999999998</v>
      </c>
      <c r="I32" s="22">
        <f>SUM(H34*0.09)+H34</f>
        <v>1.4041379999999997</v>
      </c>
      <c r="J32" s="22">
        <f>SUM(H34*0.1)+H34</f>
        <v>1.4170199999999997</v>
      </c>
      <c r="K32" s="9"/>
    </row>
    <row r="33" spans="2:11" ht="16.5" thickBot="1" x14ac:dyDescent="0.3">
      <c r="B33" s="10"/>
      <c r="C33" s="10"/>
      <c r="D33" s="10"/>
      <c r="E33" s="10"/>
      <c r="F33" s="10"/>
      <c r="G33" s="10"/>
      <c r="H33" s="10"/>
      <c r="I33" s="10"/>
      <c r="J33" s="10"/>
      <c r="K33" s="9"/>
    </row>
    <row r="34" spans="2:11" ht="16.5" thickBot="1" x14ac:dyDescent="0.3">
      <c r="B34" s="14" t="s">
        <v>5</v>
      </c>
      <c r="C34" s="24">
        <f>SUM(INICIO!J113)</f>
        <v>1.5434299999999999</v>
      </c>
      <c r="D34" s="10"/>
      <c r="E34" s="10"/>
      <c r="F34" s="10"/>
      <c r="G34" s="26" t="s">
        <v>5</v>
      </c>
      <c r="H34" s="27">
        <f>SUM(INICIO!P113)</f>
        <v>1.2881999999999998</v>
      </c>
      <c r="I34" s="10"/>
      <c r="J34" s="10"/>
      <c r="K34" s="9"/>
    </row>
    <row r="35" spans="2:11" ht="15.75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9"/>
    </row>
    <row r="36" spans="2:11" ht="15.75" x14ac:dyDescent="0.25">
      <c r="B36" s="17">
        <v>3.17</v>
      </c>
      <c r="C36" s="8">
        <v>1245</v>
      </c>
      <c r="D36" s="23" t="s">
        <v>6</v>
      </c>
      <c r="E36" s="22">
        <f>SUM(I27*0.1)+I27</f>
        <v>1.5303815999999999</v>
      </c>
      <c r="F36" s="10"/>
      <c r="G36" s="10"/>
      <c r="H36" s="19"/>
      <c r="I36" s="10" t="s">
        <v>7</v>
      </c>
      <c r="J36" s="10"/>
      <c r="K36" s="9"/>
    </row>
    <row r="37" spans="2:11" ht="15.75" x14ac:dyDescent="0.25">
      <c r="B37" s="17">
        <v>4.75</v>
      </c>
      <c r="C37" s="8">
        <v>1500</v>
      </c>
      <c r="D37" s="23" t="s">
        <v>6</v>
      </c>
      <c r="E37" s="22">
        <f>SUM(J28*0.1)+J28</f>
        <v>1.5162113999999998</v>
      </c>
      <c r="F37" s="10"/>
      <c r="G37" s="10"/>
      <c r="H37" s="20"/>
      <c r="I37" s="10" t="s">
        <v>8</v>
      </c>
      <c r="J37" s="10"/>
      <c r="K37" s="9"/>
    </row>
    <row r="38" spans="2:11" ht="15.75" x14ac:dyDescent="0.25">
      <c r="B38" s="17">
        <v>6.35</v>
      </c>
      <c r="C38" s="8">
        <v>1500</v>
      </c>
      <c r="D38" s="23" t="s">
        <v>6</v>
      </c>
      <c r="E38" s="22">
        <f>SUM(J29*0.1)+J29</f>
        <v>1.5303815999999999</v>
      </c>
      <c r="F38" s="10"/>
      <c r="G38" s="10"/>
      <c r="H38" s="21"/>
      <c r="I38" s="10" t="s">
        <v>9</v>
      </c>
      <c r="J38" s="10"/>
      <c r="K38" s="9"/>
    </row>
  </sheetData>
  <mergeCells count="3">
    <mergeCell ref="D2:G2"/>
    <mergeCell ref="B4:J4"/>
    <mergeCell ref="B22:J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102</vt:i4>
      </vt:variant>
    </vt:vector>
  </HeadingPairs>
  <TitlesOfParts>
    <vt:vector size="102" baseType="lpstr">
      <vt:lpstr>INICIO</vt:lpstr>
      <vt:lpstr>1</vt:lpstr>
      <vt:lpstr>2</vt:lpstr>
      <vt:lpstr>3</vt:lpstr>
      <vt:lpstr>4</vt:lpstr>
      <vt:lpstr>5</vt:lpstr>
      <vt:lpstr>6</vt:lpstr>
      <vt:lpstr>8</vt:lpstr>
      <vt:lpstr>7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Hoja1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41</vt:lpstr>
      <vt:lpstr>40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cp:lastPrinted>2024-11-06T12:08:48Z</cp:lastPrinted>
  <dcterms:created xsi:type="dcterms:W3CDTF">2016-02-16T11:38:58Z</dcterms:created>
  <dcterms:modified xsi:type="dcterms:W3CDTF">2026-07-28T19:01:33Z</dcterms:modified>
</cp:coreProperties>
</file>